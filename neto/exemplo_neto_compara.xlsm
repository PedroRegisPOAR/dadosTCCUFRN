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675" windowWidth="20115" windowHeight="7395" tabRatio="801"/>
  </bookViews>
  <sheets>
    <sheet name="AGUA" sheetId="11" r:id="rId1"/>
    <sheet name="COMPARAÇÃO AMPL" sheetId="19" r:id="rId2"/>
    <sheet name="Registros" sheetId="18" r:id="rId3"/>
  </sheets>
  <functionGroups builtInGroupCount="17"/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AJ9" i="19" l="1"/>
  <c r="AJ10" i="19"/>
  <c r="AJ11" i="19"/>
  <c r="AJ12" i="19"/>
  <c r="AJ3" i="19"/>
  <c r="AJ4" i="19"/>
  <c r="AJ5" i="19"/>
  <c r="AJ6" i="19"/>
  <c r="AJ7" i="19"/>
  <c r="AJ8" i="19"/>
  <c r="AG9" i="19"/>
  <c r="AG10" i="19"/>
  <c r="AG11" i="19"/>
  <c r="AG12" i="19"/>
  <c r="AD9" i="19"/>
  <c r="AD10" i="19"/>
  <c r="AD11" i="19"/>
  <c r="AD12" i="19"/>
  <c r="AD3" i="19"/>
  <c r="AD4" i="19"/>
  <c r="AD5" i="19"/>
  <c r="AD6" i="19"/>
  <c r="AD7" i="19"/>
  <c r="AD8" i="19"/>
  <c r="AD2" i="19"/>
  <c r="AA9" i="19"/>
  <c r="AA10" i="19"/>
  <c r="AA11" i="19"/>
  <c r="AA12" i="19"/>
  <c r="AA3" i="19"/>
  <c r="AA4" i="19"/>
  <c r="AA5" i="19"/>
  <c r="AA6" i="19"/>
  <c r="AA7" i="19"/>
  <c r="AA8" i="19"/>
  <c r="AA2" i="19"/>
  <c r="X9" i="19"/>
  <c r="X10" i="19"/>
  <c r="X11" i="19"/>
  <c r="X12" i="19"/>
  <c r="X3" i="19"/>
  <c r="X4" i="19"/>
  <c r="X5" i="19"/>
  <c r="X6" i="19"/>
  <c r="X7" i="19"/>
  <c r="X8" i="19"/>
  <c r="X2" i="19"/>
  <c r="U9" i="19"/>
  <c r="U10" i="19"/>
  <c r="U11" i="19"/>
  <c r="U12" i="19"/>
  <c r="U3" i="19"/>
  <c r="U4" i="19"/>
  <c r="U5" i="19"/>
  <c r="U6" i="19"/>
  <c r="U7" i="19"/>
  <c r="U8" i="19"/>
  <c r="U2" i="19"/>
  <c r="R9" i="19"/>
  <c r="R10" i="19"/>
  <c r="S10" i="19" s="1"/>
  <c r="R11" i="19"/>
  <c r="R12" i="19"/>
  <c r="R3" i="19"/>
  <c r="R4" i="19"/>
  <c r="R5" i="19"/>
  <c r="R6" i="19"/>
  <c r="R7" i="19"/>
  <c r="R8" i="19"/>
  <c r="R2" i="19"/>
  <c r="O9" i="19"/>
  <c r="O10" i="19"/>
  <c r="O11" i="19"/>
  <c r="O12" i="19"/>
  <c r="O3" i="19"/>
  <c r="O4" i="19"/>
  <c r="O5" i="19"/>
  <c r="O6" i="19"/>
  <c r="O7" i="19"/>
  <c r="O8" i="19"/>
  <c r="O2" i="19"/>
  <c r="L9" i="19"/>
  <c r="L10" i="19"/>
  <c r="L11" i="19"/>
  <c r="L12" i="19"/>
  <c r="L3" i="19"/>
  <c r="L4" i="19"/>
  <c r="L5" i="19"/>
  <c r="L6" i="19"/>
  <c r="L7" i="19"/>
  <c r="L8" i="19"/>
  <c r="L2" i="19"/>
  <c r="I9" i="19"/>
  <c r="I10" i="19"/>
  <c r="I11" i="19"/>
  <c r="I12" i="19"/>
  <c r="I3" i="19"/>
  <c r="I4" i="19"/>
  <c r="I5" i="19"/>
  <c r="I6" i="19"/>
  <c r="I7" i="19"/>
  <c r="I8" i="19"/>
  <c r="I2" i="19"/>
  <c r="F9" i="19"/>
  <c r="F10" i="19"/>
  <c r="F11" i="19"/>
  <c r="F12" i="19"/>
  <c r="F3" i="19"/>
  <c r="F4" i="19"/>
  <c r="F5" i="19"/>
  <c r="F6" i="19"/>
  <c r="F7" i="19"/>
  <c r="F8" i="19"/>
  <c r="F2" i="19"/>
  <c r="C9" i="19"/>
  <c r="C10" i="19"/>
  <c r="C11" i="19"/>
  <c r="C12" i="19"/>
  <c r="C3" i="19"/>
  <c r="C4" i="19"/>
  <c r="C5" i="19"/>
  <c r="C6" i="19"/>
  <c r="C7" i="19"/>
  <c r="C8" i="19"/>
  <c r="C2" i="19"/>
  <c r="AI9" i="19"/>
  <c r="AI10" i="19"/>
  <c r="AI11" i="19"/>
  <c r="AI12" i="19"/>
  <c r="AF9" i="19"/>
  <c r="AF10" i="19"/>
  <c r="AF11" i="19"/>
  <c r="AH11" i="19" s="1"/>
  <c r="AF12" i="19"/>
  <c r="AH12" i="19" s="1"/>
  <c r="AC9" i="19"/>
  <c r="AE9" i="19" s="1"/>
  <c r="AC10" i="19"/>
  <c r="AC11" i="19"/>
  <c r="AC12" i="19"/>
  <c r="AE12" i="19" s="1"/>
  <c r="Z9" i="19"/>
  <c r="Z10" i="19"/>
  <c r="Z11" i="19"/>
  <c r="AB11" i="19" s="1"/>
  <c r="Z12" i="19"/>
  <c r="W9" i="19"/>
  <c r="Y9" i="19" s="1"/>
  <c r="W10" i="19"/>
  <c r="W11" i="19"/>
  <c r="Y11" i="19" s="1"/>
  <c r="W12" i="19"/>
  <c r="T9" i="19"/>
  <c r="V9" i="19" s="1"/>
  <c r="T10" i="19"/>
  <c r="T11" i="19"/>
  <c r="T12" i="19"/>
  <c r="Q9" i="19"/>
  <c r="Q10" i="19"/>
  <c r="Q11" i="19"/>
  <c r="Q12" i="19"/>
  <c r="S12" i="19" s="1"/>
  <c r="N9" i="19"/>
  <c r="N10" i="19"/>
  <c r="N11" i="19"/>
  <c r="N12" i="19"/>
  <c r="P12" i="19" s="1"/>
  <c r="K9" i="19"/>
  <c r="K10" i="19"/>
  <c r="K11" i="19"/>
  <c r="M11" i="19" s="1"/>
  <c r="K12" i="19"/>
  <c r="H9" i="19"/>
  <c r="J9" i="19" s="1"/>
  <c r="H10" i="19"/>
  <c r="J10" i="19" s="1"/>
  <c r="H11" i="19"/>
  <c r="H12" i="19"/>
  <c r="J12" i="19" s="1"/>
  <c r="E9" i="19"/>
  <c r="G9" i="19" s="1"/>
  <c r="E10" i="19"/>
  <c r="G10" i="19" s="1"/>
  <c r="E11" i="19"/>
  <c r="G11" i="19" s="1"/>
  <c r="E12" i="19"/>
  <c r="AK9" i="19"/>
  <c r="AK10" i="19"/>
  <c r="AK11" i="19"/>
  <c r="AK12" i="19"/>
  <c r="B9" i="19"/>
  <c r="B10" i="19"/>
  <c r="B11" i="19"/>
  <c r="B12" i="19"/>
  <c r="Y10" i="19"/>
  <c r="Y12" i="19"/>
  <c r="V10" i="19"/>
  <c r="V12" i="19"/>
  <c r="S11" i="19"/>
  <c r="P11" i="19"/>
  <c r="M9" i="19"/>
  <c r="J11" i="19"/>
  <c r="D11" i="19"/>
  <c r="D12" i="19"/>
  <c r="AH9" i="19" l="1"/>
  <c r="AH10" i="19"/>
  <c r="AE10" i="19"/>
  <c r="AE11" i="19"/>
  <c r="V11" i="19"/>
  <c r="AB10" i="19"/>
  <c r="AB9" i="19"/>
  <c r="AB12" i="19"/>
  <c r="P10" i="19"/>
  <c r="P9" i="19"/>
  <c r="M12" i="19"/>
  <c r="M10" i="19"/>
  <c r="D10" i="19"/>
  <c r="D9" i="19"/>
  <c r="G12" i="19"/>
  <c r="S9" i="19"/>
  <c r="AG8" i="19" l="1"/>
  <c r="AG3" i="19"/>
  <c r="AJ2" i="19"/>
  <c r="AG2" i="19"/>
  <c r="AG4" i="19" l="1"/>
  <c r="AG5" i="19" l="1"/>
  <c r="AG6" i="19"/>
  <c r="AG7" i="19" l="1"/>
  <c r="H2" i="19"/>
  <c r="J2" i="19" s="1"/>
  <c r="T2" i="19"/>
  <c r="V2" i="19" s="1"/>
  <c r="AF3" i="19"/>
  <c r="AH3" i="19" s="1"/>
  <c r="H5" i="19"/>
  <c r="J5" i="19" s="1"/>
  <c r="T6" i="19"/>
  <c r="V6" i="19" s="1"/>
  <c r="AF7" i="19"/>
  <c r="AI2" i="19"/>
  <c r="AK2" i="19" s="1"/>
  <c r="K4" i="19"/>
  <c r="M4" i="19" s="1"/>
  <c r="W5" i="19"/>
  <c r="Y5" i="19" s="1"/>
  <c r="AI6" i="19"/>
  <c r="AK6" i="19" s="1"/>
  <c r="K8" i="19"/>
  <c r="M8" i="19" s="1"/>
  <c r="AC2" i="19"/>
  <c r="AE2" i="19" s="1"/>
  <c r="Q5" i="19"/>
  <c r="S5" i="19" s="1"/>
  <c r="N4" i="19"/>
  <c r="P4" i="19" s="1"/>
  <c r="B7" i="19"/>
  <c r="D7" i="19" s="1"/>
  <c r="AC5" i="19"/>
  <c r="AE5" i="19" s="1"/>
  <c r="Q8" i="19"/>
  <c r="S8" i="19" s="1"/>
  <c r="Z2" i="19"/>
  <c r="AB2" i="19" s="1"/>
  <c r="N7" i="19"/>
  <c r="P7" i="19" s="1"/>
  <c r="AF2" i="19"/>
  <c r="AH2" i="19" s="1"/>
  <c r="H4" i="19"/>
  <c r="J4" i="19" s="1"/>
  <c r="T5" i="19"/>
  <c r="V5" i="19" s="1"/>
  <c r="AF6" i="19"/>
  <c r="AH6" i="19" s="1"/>
  <c r="H8" i="19"/>
  <c r="J8" i="19" s="1"/>
  <c r="K3" i="19"/>
  <c r="M3" i="19" s="1"/>
  <c r="W4" i="19"/>
  <c r="Y4" i="19" s="1"/>
  <c r="AI5" i="19"/>
  <c r="AK5" i="19" s="1"/>
  <c r="K7" i="19"/>
  <c r="M7" i="19" s="1"/>
  <c r="W8" i="19"/>
  <c r="Y8" i="19" s="1"/>
  <c r="Q3" i="19"/>
  <c r="S3" i="19" s="1"/>
  <c r="AC8" i="19"/>
  <c r="AE8" i="19" s="1"/>
  <c r="N2" i="19"/>
  <c r="P2" i="19" s="1"/>
  <c r="B5" i="19"/>
  <c r="D5" i="19" s="1"/>
  <c r="Z7" i="19"/>
  <c r="AB7" i="19" s="1"/>
  <c r="H3" i="19"/>
  <c r="J3" i="19" s="1"/>
  <c r="AF5" i="19"/>
  <c r="AH5" i="19" s="1"/>
  <c r="T8" i="19"/>
  <c r="V8" i="19" s="1"/>
  <c r="K2" i="19"/>
  <c r="M2" i="19" s="1"/>
  <c r="AI4" i="19"/>
  <c r="AK4" i="19" s="1"/>
  <c r="W7" i="19"/>
  <c r="Y7" i="19" s="1"/>
  <c r="AC6" i="19"/>
  <c r="AE6" i="19" s="1"/>
  <c r="B3" i="19"/>
  <c r="D3" i="19" s="1"/>
  <c r="N8" i="19"/>
  <c r="P8" i="19" s="1"/>
  <c r="Z4" i="19"/>
  <c r="AB4" i="19" s="1"/>
  <c r="T3" i="19"/>
  <c r="V3" i="19" s="1"/>
  <c r="H6" i="19"/>
  <c r="J6" i="19" s="1"/>
  <c r="AF8" i="19"/>
  <c r="AH8" i="19" s="1"/>
  <c r="W2" i="19"/>
  <c r="Y2" i="19" s="1"/>
  <c r="K5" i="19"/>
  <c r="M5" i="19" s="1"/>
  <c r="AI7" i="19"/>
  <c r="AK7" i="19" s="1"/>
  <c r="Q7" i="19"/>
  <c r="S7" i="19" s="1"/>
  <c r="Z3" i="19"/>
  <c r="AB3" i="19" s="1"/>
  <c r="Q2" i="19"/>
  <c r="S2" i="19" s="1"/>
  <c r="Q6" i="19"/>
  <c r="S6" i="19" s="1"/>
  <c r="B8" i="19"/>
  <c r="D8" i="19" s="1"/>
  <c r="B4" i="19"/>
  <c r="D4" i="19" s="1"/>
  <c r="T4" i="19"/>
  <c r="V4" i="19" s="1"/>
  <c r="H7" i="19"/>
  <c r="J7" i="19" s="1"/>
  <c r="W3" i="19"/>
  <c r="Y3" i="19" s="1"/>
  <c r="K6" i="19"/>
  <c r="M6" i="19" s="1"/>
  <c r="AI8" i="19"/>
  <c r="AK8" i="19" s="1"/>
  <c r="Z5" i="19"/>
  <c r="AB5" i="19" s="1"/>
  <c r="AC3" i="19"/>
  <c r="AE3" i="19" s="1"/>
  <c r="N3" i="19"/>
  <c r="P3" i="19" s="1"/>
  <c r="Z6" i="19"/>
  <c r="AB6" i="19" s="1"/>
  <c r="AF4" i="19"/>
  <c r="AH4" i="19" s="1"/>
  <c r="T7" i="19"/>
  <c r="V7" i="19" s="1"/>
  <c r="AI3" i="19"/>
  <c r="AK3" i="19" s="1"/>
  <c r="W6" i="19"/>
  <c r="Y6" i="19" s="1"/>
  <c r="AC4" i="19"/>
  <c r="AE4" i="19" s="1"/>
  <c r="N6" i="19"/>
  <c r="P6" i="19" s="1"/>
  <c r="Q4" i="19"/>
  <c r="S4" i="19" s="1"/>
  <c r="AC7" i="19"/>
  <c r="AE7" i="19" s="1"/>
  <c r="N5" i="19"/>
  <c r="P5" i="19" s="1"/>
  <c r="Z8" i="19"/>
  <c r="AB8" i="19" s="1"/>
  <c r="AH7" i="19" l="1"/>
  <c r="B6" i="19"/>
  <c r="D6" i="19" s="1"/>
  <c r="B2" i="19"/>
  <c r="D2" i="19" s="1"/>
  <c r="E6" i="19"/>
  <c r="G6" i="19" s="1"/>
  <c r="E2" i="19"/>
  <c r="G2" i="19" s="1"/>
  <c r="E5" i="19"/>
  <c r="G5" i="19" s="1"/>
  <c r="E3" i="19"/>
  <c r="G3" i="19" s="1"/>
  <c r="E4" i="19"/>
  <c r="G4" i="19" s="1"/>
  <c r="E7" i="19"/>
  <c r="G7" i="19" s="1"/>
  <c r="E8" i="19"/>
  <c r="G8" i="19" s="1"/>
</calcChain>
</file>

<file path=xl/sharedStrings.xml><?xml version="1.0" encoding="utf-8"?>
<sst xmlns="http://schemas.openxmlformats.org/spreadsheetml/2006/main" count="601" uniqueCount="22">
  <si>
    <t>Nome 
Dos
 Trechos</t>
  </si>
  <si>
    <t>Qm
 (L/s)</t>
  </si>
  <si>
    <t>Qt 
(L/s)</t>
  </si>
  <si>
    <t>Qj 
(L/s)</t>
  </si>
  <si>
    <t>Qf 
(L/s)</t>
  </si>
  <si>
    <t>D 
(mm)</t>
  </si>
  <si>
    <t>J 
(m/m)</t>
  </si>
  <si>
    <t>hf 
(m)</t>
  </si>
  <si>
    <t>v 
(m/s)</t>
  </si>
  <si>
    <t>CPM 
(m)</t>
  </si>
  <si>
    <t>CPJ
(m)</t>
  </si>
  <si>
    <t>PDM
(m)</t>
  </si>
  <si>
    <t>PDJ
(m)</t>
  </si>
  <si>
    <t>L 
(m)</t>
  </si>
  <si>
    <t>CTM
(m)</t>
  </si>
  <si>
    <t>CTJ
(m)</t>
  </si>
  <si>
    <t>QP
(L/s)</t>
  </si>
  <si>
    <t>PEDRO REGIS</t>
  </si>
  <si>
    <t>PEDROREGIS-PC</t>
  </si>
  <si>
    <t>a22bbl05</t>
  </si>
  <si>
    <t>22BBLPC06</t>
  </si>
  <si>
    <t>PLANILHA PARA CÁLCULO DE REDE DE DISTRIBUIÇÃO DE ÁGUA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</si>
</sst>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"/>
    <numFmt numFmtId="166" formatCode="0.00000"/>
    <numFmt numFmtId="167" formatCode="0.0000"/>
  </numFmts>
  <fonts count="9" x14ac:knownFonts="1">
    <font>
      <sz val="11"/>
      <color theme="1"/>
      <name val="Calibri"/>
      <family val="2"/>
      <scheme val="minor"/>
    </font>
    <font>
      <sz val="14"/>
      <name val="Times New Roman"/>
      <family val="1"/>
    </font>
    <font>
      <sz val="14"/>
      <color rgb="FF000000"/>
      <name val="Times New Roman"/>
      <family val="1"/>
    </font>
    <font>
      <sz val="11"/>
      <color theme="1"/>
      <name val="Calibri"/>
      <family val="2"/>
    </font>
    <font>
      <sz val="11"/>
      <color theme="1"/>
      <name val="Times New Roman"/>
      <family val="1"/>
    </font>
    <font>
      <b/>
      <sz val="14"/>
      <name val="Times New Roman"/>
      <family val="1"/>
    </font>
    <font>
      <b/>
      <sz val="14"/>
      <color rgb="FF000000"/>
      <name val="Times New Roman"/>
      <family val="1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00B050"/>
        <bgColor indexed="64"/>
      </patternFill>
    </fill>
  </fills>
  <borders count="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3" fillId="0" borderId="0" xfId="0" applyFont="1" applyFill="1" applyBorder="1"/>
    <xf numFmtId="0" fontId="2" fillId="2" borderId="1" xfId="0" applyFont="1" applyFill="1" applyBorder="1" applyAlignment="1">
      <alignment horizontal="center" vertical="center"/>
    </xf>
    <xf numFmtId="22" fontId="0" fillId="0" borderId="0" xfId="0" applyNumberFormat="1"/>
    <xf numFmtId="0" fontId="0" fillId="5" borderId="0" xfId="0" applyFill="1"/>
    <xf numFmtId="0" fontId="4" fillId="0" borderId="0" xfId="0" applyFont="1" applyAlignment="1"/>
    <xf numFmtId="0" fontId="6" fillId="4" borderId="1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2" fontId="2" fillId="6" borderId="3" xfId="0" applyNumberFormat="1" applyFont="1" applyFill="1" applyBorder="1" applyAlignment="1">
      <alignment horizontal="center" vertical="center"/>
    </xf>
    <xf numFmtId="165" fontId="2" fillId="6" borderId="3" xfId="0" applyNumberFormat="1" applyFont="1" applyFill="1" applyBorder="1" applyAlignment="1">
      <alignment horizontal="center" vertical="center"/>
    </xf>
    <xf numFmtId="2" fontId="2" fillId="6" borderId="1" xfId="0" applyNumberFormat="1" applyFont="1" applyFill="1" applyBorder="1" applyAlignment="1">
      <alignment horizontal="center" vertical="center"/>
    </xf>
    <xf numFmtId="165" fontId="2" fillId="6" borderId="1" xfId="0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 vertical="center" wrapText="1"/>
    </xf>
    <xf numFmtId="0" fontId="8" fillId="0" borderId="1" xfId="0" applyFont="1" applyBorder="1"/>
    <xf numFmtId="2" fontId="7" fillId="5" borderId="3" xfId="0" applyNumberFormat="1" applyFont="1" applyFill="1" applyBorder="1" applyAlignment="1">
      <alignment horizontal="center" vertical="center"/>
    </xf>
    <xf numFmtId="2" fontId="7" fillId="4" borderId="3" xfId="0" applyNumberFormat="1" applyFont="1" applyFill="1" applyBorder="1" applyAlignment="1">
      <alignment horizontal="center" vertical="center"/>
    </xf>
    <xf numFmtId="2" fontId="7" fillId="0" borderId="3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167" fontId="7" fillId="5" borderId="3" xfId="0" applyNumberFormat="1" applyFont="1" applyFill="1" applyBorder="1" applyAlignment="1">
      <alignment horizontal="center" vertical="center"/>
    </xf>
    <xf numFmtId="167" fontId="7" fillId="4" borderId="3" xfId="0" applyNumberFormat="1" applyFont="1" applyFill="1" applyBorder="1" applyAlignment="1">
      <alignment horizontal="center" vertical="center"/>
    </xf>
    <xf numFmtId="166" fontId="7" fillId="0" borderId="3" xfId="0" applyNumberFormat="1" applyFont="1" applyBorder="1" applyAlignment="1">
      <alignment horizontal="center" vertical="center"/>
    </xf>
    <xf numFmtId="165" fontId="7" fillId="5" borderId="3" xfId="0" applyNumberFormat="1" applyFont="1" applyFill="1" applyBorder="1" applyAlignment="1">
      <alignment horizontal="center" vertical="center"/>
    </xf>
    <xf numFmtId="165" fontId="7" fillId="4" borderId="3" xfId="0" applyNumberFormat="1" applyFont="1" applyFill="1" applyBorder="1" applyAlignment="1">
      <alignment horizontal="center" vertical="center"/>
    </xf>
    <xf numFmtId="165" fontId="7" fillId="0" borderId="3" xfId="0" applyNumberFormat="1" applyFont="1" applyBorder="1" applyAlignment="1">
      <alignment horizontal="center" vertical="center"/>
    </xf>
    <xf numFmtId="2" fontId="7" fillId="0" borderId="4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166" fontId="7" fillId="4" borderId="3" xfId="0" applyNumberFormat="1" applyFont="1" applyFill="1" applyBorder="1" applyAlignment="1">
      <alignment horizontal="center" vertical="center"/>
    </xf>
    <xf numFmtId="166" fontId="7" fillId="5" borderId="3" xfId="0" applyNumberFormat="1" applyFont="1" applyFill="1" applyBorder="1" applyAlignment="1">
      <alignment horizontal="center" vertical="center"/>
    </xf>
    <xf numFmtId="167" fontId="0" fillId="0" borderId="0" xfId="0" applyNumberFormat="1"/>
    <xf numFmtId="164" fontId="1" fillId="3" borderId="3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" fontId="1" fillId="3" borderId="3" xfId="0" applyNumberFormat="1" applyFont="1" applyFill="1" applyBorder="1" applyAlignment="1">
      <alignment horizontal="center" vertical="center"/>
    </xf>
    <xf numFmtId="1" fontId="2" fillId="2" borderId="3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" fontId="2" fillId="6" borderId="3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32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utput_exemplo_net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exemplo_neto"/>
    </sheetNames>
    <sheetDataSet>
      <sheetData sheetId="0">
        <row r="1">
          <cell r="A1">
            <v>1.5399999999999999E-3</v>
          </cell>
          <cell r="B1">
            <v>1.5399999999999999E-3</v>
          </cell>
          <cell r="C1">
            <v>0</v>
          </cell>
          <cell r="D1">
            <v>7.6999999999999996E-4</v>
          </cell>
          <cell r="E1">
            <v>0.05</v>
          </cell>
          <cell r="F1">
            <v>4.8999999999999998E-3</v>
          </cell>
          <cell r="G1">
            <v>0.49270000000000003</v>
          </cell>
          <cell r="H1">
            <v>0.39219999999999999</v>
          </cell>
          <cell r="I1">
            <v>91.492699999999999</v>
          </cell>
          <cell r="J1">
            <v>91</v>
          </cell>
        </row>
        <row r="2">
          <cell r="A2">
            <v>3.0799999999999998E-3</v>
          </cell>
          <cell r="B2">
            <v>1.5399999999999999E-3</v>
          </cell>
          <cell r="C2">
            <v>1.5399999999999999E-3</v>
          </cell>
          <cell r="D2">
            <v>2.31E-3</v>
          </cell>
          <cell r="E2">
            <v>0.1</v>
          </cell>
          <cell r="F2">
            <v>1.2999999999999999E-3</v>
          </cell>
          <cell r="G2">
            <v>0.12859999999999999</v>
          </cell>
          <cell r="H2">
            <v>0.29409999999999997</v>
          </cell>
          <cell r="I2">
            <v>91.621300000000005</v>
          </cell>
          <cell r="J2">
            <v>91.492699999999999</v>
          </cell>
        </row>
        <row r="3">
          <cell r="A3">
            <v>2.31E-3</v>
          </cell>
          <cell r="B3">
            <v>2.31E-3</v>
          </cell>
          <cell r="C3">
            <v>0</v>
          </cell>
          <cell r="D3">
            <v>1.155E-3</v>
          </cell>
          <cell r="E3">
            <v>7.4999999999999997E-2</v>
          </cell>
          <cell r="F3">
            <v>1.4E-3</v>
          </cell>
          <cell r="G3">
            <v>0.2172</v>
          </cell>
          <cell r="H3">
            <v>0.26140000000000002</v>
          </cell>
          <cell r="I3">
            <v>91.621300000000005</v>
          </cell>
          <cell r="J3">
            <v>91.4041</v>
          </cell>
        </row>
        <row r="4">
          <cell r="A4">
            <v>7.7000000000000002E-3</v>
          </cell>
          <cell r="B4">
            <v>2.31E-3</v>
          </cell>
          <cell r="C4">
            <v>5.3899999999999998E-3</v>
          </cell>
          <cell r="D4">
            <v>6.5449999999999996E-3</v>
          </cell>
          <cell r="E4">
            <v>0.15</v>
          </cell>
          <cell r="F4">
            <v>1.1999999999999999E-3</v>
          </cell>
          <cell r="G4">
            <v>0.18390000000000001</v>
          </cell>
          <cell r="H4">
            <v>0.37040000000000001</v>
          </cell>
          <cell r="I4">
            <v>91.805199999999999</v>
          </cell>
          <cell r="J4">
            <v>91.621300000000005</v>
          </cell>
        </row>
        <row r="5">
          <cell r="A5">
            <v>1.232E-3</v>
          </cell>
          <cell r="B5">
            <v>1.232E-3</v>
          </cell>
          <cell r="C5">
            <v>0</v>
          </cell>
          <cell r="D5">
            <v>6.1600000000000001E-4</v>
          </cell>
          <cell r="E5">
            <v>0.05</v>
          </cell>
          <cell r="F5">
            <v>3.3E-3</v>
          </cell>
          <cell r="G5">
            <v>0.26079999999999998</v>
          </cell>
          <cell r="H5">
            <v>0.31369999999999998</v>
          </cell>
          <cell r="I5">
            <v>90.878</v>
          </cell>
          <cell r="J5">
            <v>90.617099999999994</v>
          </cell>
        </row>
        <row r="6">
          <cell r="A6">
            <v>1.848E-3</v>
          </cell>
          <cell r="B6">
            <v>1.848E-3</v>
          </cell>
          <cell r="C6">
            <v>0</v>
          </cell>
          <cell r="D6">
            <v>9.2400000000000002E-4</v>
          </cell>
          <cell r="E6">
            <v>0.05</v>
          </cell>
          <cell r="F6">
            <v>6.8999999999999999E-3</v>
          </cell>
          <cell r="G6">
            <v>0.82840000000000003</v>
          </cell>
          <cell r="H6">
            <v>0.47060000000000002</v>
          </cell>
          <cell r="I6">
            <v>90.878</v>
          </cell>
          <cell r="J6">
            <v>90.049599999999998</v>
          </cell>
        </row>
        <row r="7">
          <cell r="A7">
            <v>6.1599999999999997E-3</v>
          </cell>
          <cell r="B7">
            <v>3.0799999999999998E-3</v>
          </cell>
          <cell r="C7">
            <v>3.0799999999999998E-3</v>
          </cell>
          <cell r="D7">
            <v>4.62E-3</v>
          </cell>
          <cell r="E7">
            <v>0.1</v>
          </cell>
          <cell r="F7">
            <v>4.5999999999999999E-3</v>
          </cell>
          <cell r="G7">
            <v>0.92720000000000002</v>
          </cell>
          <cell r="H7">
            <v>0.58819999999999995</v>
          </cell>
          <cell r="I7">
            <v>91.805199999999999</v>
          </cell>
          <cell r="J7">
            <v>90.878</v>
          </cell>
        </row>
        <row r="8">
          <cell r="A8">
            <v>2.0789999999999999E-2</v>
          </cell>
          <cell r="B8">
            <v>6.9300000000000004E-3</v>
          </cell>
          <cell r="C8">
            <v>1.3860000000000001E-2</v>
          </cell>
          <cell r="D8">
            <v>1.7325E-2</v>
          </cell>
          <cell r="E8">
            <v>0.2</v>
          </cell>
          <cell r="F8">
            <v>1.8E-3</v>
          </cell>
          <cell r="G8">
            <v>0.82279999999999998</v>
          </cell>
          <cell r="H8">
            <v>0.55149999999999999</v>
          </cell>
          <cell r="I8">
            <v>92.628</v>
          </cell>
          <cell r="J8">
            <v>91.805199999999999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R13"/>
  <sheetViews>
    <sheetView tabSelected="1" zoomScale="86" zoomScaleNormal="86" workbookViewId="0">
      <selection activeCell="C3" sqref="C3:D13"/>
    </sheetView>
  </sheetViews>
  <sheetFormatPr defaultRowHeight="15" x14ac:dyDescent="0.25"/>
  <cols>
    <col min="1" max="1" width="11.42578125" bestFit="1" customWidth="1"/>
    <col min="2" max="2" width="8.42578125" bestFit="1" customWidth="1"/>
    <col min="3" max="3" width="7.7109375" customWidth="1"/>
    <col min="4" max="4" width="7.140625" bestFit="1" customWidth="1"/>
    <col min="5" max="5" width="7" bestFit="1" customWidth="1"/>
    <col min="6" max="6" width="7.7109375" bestFit="1" customWidth="1"/>
    <col min="7" max="7" width="7" bestFit="1" customWidth="1"/>
    <col min="8" max="9" width="7.7109375" bestFit="1" customWidth="1"/>
    <col min="10" max="10" width="9.140625" bestFit="1" customWidth="1"/>
    <col min="11" max="11" width="11.140625" bestFit="1" customWidth="1"/>
    <col min="12" max="12" width="7.7109375" bestFit="1" customWidth="1"/>
    <col min="13" max="13" width="7.42578125" bestFit="1" customWidth="1"/>
    <col min="14" max="15" width="8.42578125" bestFit="1" customWidth="1"/>
    <col min="16" max="17" width="7.7109375" bestFit="1" customWidth="1"/>
    <col min="18" max="18" width="4" customWidth="1"/>
  </cols>
  <sheetData>
    <row r="1" spans="1:18" ht="24.75" customHeight="1" thickBot="1" x14ac:dyDescent="0.3">
      <c r="A1" s="37" t="s">
        <v>21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9"/>
    </row>
    <row r="2" spans="1:18" ht="75.75" thickBot="1" x14ac:dyDescent="0.3">
      <c r="A2" s="6" t="s">
        <v>0</v>
      </c>
      <c r="B2" s="6" t="s">
        <v>13</v>
      </c>
      <c r="C2" s="6" t="s">
        <v>14</v>
      </c>
      <c r="D2" s="6" t="s">
        <v>15</v>
      </c>
      <c r="E2" s="6" t="s">
        <v>16</v>
      </c>
      <c r="F2" s="7" t="s">
        <v>1</v>
      </c>
      <c r="G2" s="7" t="s">
        <v>2</v>
      </c>
      <c r="H2" s="7" t="s">
        <v>3</v>
      </c>
      <c r="I2" s="7" t="s">
        <v>4</v>
      </c>
      <c r="J2" s="7" t="s">
        <v>5</v>
      </c>
      <c r="K2" s="7" t="s">
        <v>6</v>
      </c>
      <c r="L2" s="7" t="s">
        <v>7</v>
      </c>
      <c r="M2" s="7" t="s">
        <v>8</v>
      </c>
      <c r="N2" s="7" t="s">
        <v>9</v>
      </c>
      <c r="O2" s="7" t="s">
        <v>10</v>
      </c>
      <c r="P2" s="7" t="s">
        <v>11</v>
      </c>
      <c r="Q2" s="7" t="s">
        <v>12</v>
      </c>
      <c r="R2" s="1"/>
    </row>
    <row r="3" spans="1:18" ht="19.5" customHeight="1" thickBot="1" x14ac:dyDescent="0.3">
      <c r="A3" s="35">
        <v>1</v>
      </c>
      <c r="B3" s="33">
        <v>90</v>
      </c>
      <c r="C3" s="33">
        <v>67.2</v>
      </c>
      <c r="D3" s="33">
        <v>63.8</v>
      </c>
      <c r="E3" s="35">
        <v>0</v>
      </c>
      <c r="F3" s="8">
        <v>0.36</v>
      </c>
      <c r="G3" s="8">
        <v>0.36</v>
      </c>
      <c r="H3" s="8">
        <v>0</v>
      </c>
      <c r="I3" s="8">
        <v>0.18</v>
      </c>
      <c r="J3" s="8">
        <v>50</v>
      </c>
      <c r="K3" s="40">
        <v>0</v>
      </c>
      <c r="L3" s="9">
        <v>7.0000000000000007E-2</v>
      </c>
      <c r="M3" s="8">
        <v>0.18</v>
      </c>
      <c r="N3" s="8">
        <v>109.83</v>
      </c>
      <c r="O3" s="8">
        <v>109.76</v>
      </c>
      <c r="P3" s="8">
        <v>42.63</v>
      </c>
      <c r="Q3" s="8">
        <v>45.96</v>
      </c>
      <c r="R3" s="1"/>
    </row>
    <row r="4" spans="1:18" ht="18.75" customHeight="1" thickBot="1" x14ac:dyDescent="0.3">
      <c r="A4" s="34">
        <v>2</v>
      </c>
      <c r="B4" s="33">
        <v>130</v>
      </c>
      <c r="C4" s="33">
        <v>60.5</v>
      </c>
      <c r="D4" s="33">
        <v>67.2</v>
      </c>
      <c r="E4" s="35">
        <v>0</v>
      </c>
      <c r="F4" s="10">
        <v>0.88</v>
      </c>
      <c r="G4" s="10">
        <v>0.52</v>
      </c>
      <c r="H4" s="10">
        <v>0.36</v>
      </c>
      <c r="I4" s="10">
        <v>0.62</v>
      </c>
      <c r="J4" s="10">
        <v>50</v>
      </c>
      <c r="K4" s="40">
        <v>0</v>
      </c>
      <c r="L4" s="11">
        <v>0.8</v>
      </c>
      <c r="M4" s="10">
        <v>0.45</v>
      </c>
      <c r="N4" s="10">
        <v>119.63</v>
      </c>
      <c r="O4" s="10">
        <v>109.83</v>
      </c>
      <c r="P4" s="10">
        <v>41.14</v>
      </c>
      <c r="Q4" s="10">
        <v>42.63</v>
      </c>
      <c r="R4" s="1"/>
    </row>
    <row r="5" spans="1:18" ht="18.75" customHeight="1" thickBot="1" x14ac:dyDescent="0.3">
      <c r="A5" s="34">
        <v>3</v>
      </c>
      <c r="B5" s="33">
        <v>60</v>
      </c>
      <c r="C5" s="33">
        <v>69.5</v>
      </c>
      <c r="D5" s="33">
        <v>72</v>
      </c>
      <c r="E5" s="35">
        <v>0</v>
      </c>
      <c r="F5" s="10">
        <v>0.24</v>
      </c>
      <c r="G5" s="10">
        <v>0.24</v>
      </c>
      <c r="H5" s="10">
        <v>0</v>
      </c>
      <c r="I5" s="10">
        <v>0.12</v>
      </c>
      <c r="J5" s="10">
        <v>50</v>
      </c>
      <c r="K5" s="40">
        <v>0</v>
      </c>
      <c r="L5" s="11">
        <v>0.01</v>
      </c>
      <c r="M5" s="10">
        <v>0.12</v>
      </c>
      <c r="N5" s="10">
        <v>110.63</v>
      </c>
      <c r="O5" s="10">
        <v>110.62</v>
      </c>
      <c r="P5" s="10">
        <v>41.13</v>
      </c>
      <c r="Q5" s="10">
        <v>38.619999999999997</v>
      </c>
      <c r="R5" s="1"/>
    </row>
    <row r="6" spans="1:18" ht="19.5" thickBot="1" x14ac:dyDescent="0.3">
      <c r="A6" s="34">
        <v>4</v>
      </c>
      <c r="B6" s="33">
        <v>110</v>
      </c>
      <c r="C6" s="33">
        <v>77.400000000000006</v>
      </c>
      <c r="D6" s="33">
        <v>69.5</v>
      </c>
      <c r="E6" s="35">
        <v>0</v>
      </c>
      <c r="F6" s="10">
        <v>1.56</v>
      </c>
      <c r="G6" s="10">
        <v>0.44</v>
      </c>
      <c r="H6" s="10">
        <v>1.1200000000000001</v>
      </c>
      <c r="I6" s="10">
        <v>1.34</v>
      </c>
      <c r="J6" s="10">
        <v>75</v>
      </c>
      <c r="K6" s="40">
        <v>0</v>
      </c>
      <c r="L6" s="11">
        <v>0.4</v>
      </c>
      <c r="M6" s="10">
        <v>0.35</v>
      </c>
      <c r="N6" s="10">
        <v>111.03</v>
      </c>
      <c r="O6" s="10">
        <v>110.63</v>
      </c>
      <c r="P6" s="10">
        <v>33.630000000000003</v>
      </c>
      <c r="Q6" s="10">
        <v>41.13</v>
      </c>
    </row>
    <row r="7" spans="1:18" ht="19.5" thickBot="1" x14ac:dyDescent="0.3">
      <c r="A7" s="34">
        <v>5</v>
      </c>
      <c r="B7" s="33">
        <v>70</v>
      </c>
      <c r="C7" s="33">
        <v>71.7</v>
      </c>
      <c r="D7" s="33">
        <v>67.2</v>
      </c>
      <c r="E7" s="35">
        <v>0</v>
      </c>
      <c r="F7" s="10">
        <v>0.28000000000000003</v>
      </c>
      <c r="G7" s="10">
        <v>0.28000000000000003</v>
      </c>
      <c r="H7" s="10">
        <v>0</v>
      </c>
      <c r="I7" s="10">
        <v>0.14000000000000001</v>
      </c>
      <c r="J7" s="10">
        <v>50</v>
      </c>
      <c r="K7" s="40">
        <v>0</v>
      </c>
      <c r="L7" s="11">
        <v>0.06</v>
      </c>
      <c r="M7" s="10">
        <v>0.14000000000000001</v>
      </c>
      <c r="N7" s="10">
        <v>110.59</v>
      </c>
      <c r="O7" s="10">
        <v>110.53</v>
      </c>
      <c r="P7" s="10">
        <v>38.89</v>
      </c>
      <c r="Q7" s="10">
        <v>43.33</v>
      </c>
    </row>
    <row r="8" spans="1:18" ht="19.5" thickBot="1" x14ac:dyDescent="0.3">
      <c r="A8" s="34">
        <v>6</v>
      </c>
      <c r="B8" s="33">
        <v>110</v>
      </c>
      <c r="C8" s="33">
        <v>77.400000000000006</v>
      </c>
      <c r="D8" s="33">
        <v>71.7</v>
      </c>
      <c r="E8" s="35">
        <v>0</v>
      </c>
      <c r="F8" s="10">
        <v>0.72</v>
      </c>
      <c r="G8" s="10">
        <v>0.44</v>
      </c>
      <c r="H8" s="10">
        <v>0.28000000000000003</v>
      </c>
      <c r="I8" s="10">
        <v>0.5</v>
      </c>
      <c r="J8" s="10">
        <v>50</v>
      </c>
      <c r="K8" s="40">
        <v>0</v>
      </c>
      <c r="L8" s="11">
        <v>0.44</v>
      </c>
      <c r="M8" s="10">
        <v>0.37</v>
      </c>
      <c r="N8" s="10">
        <v>111.03</v>
      </c>
      <c r="O8" s="10">
        <v>110.59</v>
      </c>
      <c r="P8" s="10">
        <v>33.630000000000003</v>
      </c>
      <c r="Q8" s="10">
        <v>38.89</v>
      </c>
      <c r="R8" s="5"/>
    </row>
    <row r="9" spans="1:18" ht="19.5" thickBot="1" x14ac:dyDescent="0.3">
      <c r="A9" s="34">
        <v>7</v>
      </c>
      <c r="B9" s="33">
        <v>130</v>
      </c>
      <c r="C9" s="33">
        <v>77.400000000000006</v>
      </c>
      <c r="D9" s="33">
        <v>79</v>
      </c>
      <c r="E9" s="35">
        <v>0</v>
      </c>
      <c r="F9" s="10">
        <v>0.52</v>
      </c>
      <c r="G9" s="10">
        <v>0.52</v>
      </c>
      <c r="H9" s="10">
        <v>0</v>
      </c>
      <c r="I9" s="10">
        <v>0.26</v>
      </c>
      <c r="J9" s="10">
        <v>50</v>
      </c>
      <c r="K9" s="40">
        <v>0</v>
      </c>
      <c r="L9" s="11">
        <v>0.16</v>
      </c>
      <c r="M9" s="10">
        <v>0.26</v>
      </c>
      <c r="N9" s="10">
        <v>111.03</v>
      </c>
      <c r="O9" s="10">
        <v>110.87</v>
      </c>
      <c r="P9" s="10">
        <v>33.630000000000003</v>
      </c>
      <c r="Q9" s="10">
        <v>31.87</v>
      </c>
    </row>
    <row r="10" spans="1:18" ht="19.5" thickBot="1" x14ac:dyDescent="0.3">
      <c r="A10" s="34">
        <v>8</v>
      </c>
      <c r="B10" s="33">
        <v>80</v>
      </c>
      <c r="C10" s="33">
        <v>85.8</v>
      </c>
      <c r="D10" s="33">
        <v>77.400000000000006</v>
      </c>
      <c r="E10" s="35">
        <v>0</v>
      </c>
      <c r="F10" s="10">
        <v>3.12</v>
      </c>
      <c r="G10" s="10">
        <v>0.32</v>
      </c>
      <c r="H10" s="10">
        <v>2.8</v>
      </c>
      <c r="I10" s="10">
        <v>2.96</v>
      </c>
      <c r="J10" s="10">
        <v>75</v>
      </c>
      <c r="K10" s="40">
        <v>0</v>
      </c>
      <c r="L10" s="11">
        <v>1.34</v>
      </c>
      <c r="M10" s="10">
        <v>0.7</v>
      </c>
      <c r="N10" s="10">
        <v>112.37</v>
      </c>
      <c r="O10" s="10">
        <v>111.03</v>
      </c>
      <c r="P10" s="10">
        <v>26.5</v>
      </c>
      <c r="Q10" s="10">
        <v>33.630000000000003</v>
      </c>
    </row>
    <row r="11" spans="1:18" ht="19.5" thickBot="1" x14ac:dyDescent="0.3">
      <c r="A11" s="34">
        <v>9</v>
      </c>
      <c r="B11" s="33">
        <v>70</v>
      </c>
      <c r="C11" s="33">
        <v>85.8</v>
      </c>
      <c r="D11" s="33">
        <v>84.4</v>
      </c>
      <c r="E11" s="35">
        <v>0</v>
      </c>
      <c r="F11" s="10">
        <v>0.28000000000000003</v>
      </c>
      <c r="G11" s="10">
        <v>0.28000000000000003</v>
      </c>
      <c r="H11" s="10">
        <v>0</v>
      </c>
      <c r="I11" s="10">
        <v>0.14000000000000001</v>
      </c>
      <c r="J11" s="10">
        <v>50</v>
      </c>
      <c r="K11" s="40">
        <v>0</v>
      </c>
      <c r="L11" s="11">
        <v>0.06</v>
      </c>
      <c r="M11" s="10">
        <v>0.14000000000000001</v>
      </c>
      <c r="N11" s="10">
        <v>112.37</v>
      </c>
      <c r="O11" s="10">
        <v>112.31</v>
      </c>
      <c r="P11" s="10">
        <v>26.57</v>
      </c>
      <c r="Q11" s="10">
        <v>27.91</v>
      </c>
    </row>
    <row r="12" spans="1:18" ht="19.5" thickBot="1" x14ac:dyDescent="0.3">
      <c r="A12" s="34">
        <v>10</v>
      </c>
      <c r="B12" s="33">
        <v>60</v>
      </c>
      <c r="C12" s="33">
        <v>97.7</v>
      </c>
      <c r="D12" s="33">
        <v>85.8</v>
      </c>
      <c r="E12" s="35">
        <v>0</v>
      </c>
      <c r="F12" s="10">
        <v>3.64</v>
      </c>
      <c r="G12" s="10">
        <v>0.24</v>
      </c>
      <c r="H12" s="10">
        <v>3.4</v>
      </c>
      <c r="I12" s="10">
        <v>3.52</v>
      </c>
      <c r="J12" s="10">
        <v>100</v>
      </c>
      <c r="K12" s="40">
        <v>0</v>
      </c>
      <c r="L12" s="11">
        <v>0.33</v>
      </c>
      <c r="M12" s="10">
        <v>0.45</v>
      </c>
      <c r="N12" s="10">
        <v>112.7</v>
      </c>
      <c r="O12" s="10">
        <v>112.37</v>
      </c>
      <c r="P12" s="10">
        <v>15</v>
      </c>
      <c r="Q12" s="10">
        <v>26.57</v>
      </c>
    </row>
    <row r="13" spans="1:18" ht="19.5" thickBot="1" x14ac:dyDescent="0.3">
      <c r="A13" s="34">
        <v>11</v>
      </c>
      <c r="B13" s="33">
        <v>120</v>
      </c>
      <c r="C13" s="33">
        <v>112</v>
      </c>
      <c r="D13" s="33">
        <v>97.7</v>
      </c>
      <c r="E13" s="35">
        <v>0</v>
      </c>
      <c r="F13" s="10">
        <v>3.64</v>
      </c>
      <c r="G13" s="10">
        <v>0</v>
      </c>
      <c r="H13" s="10">
        <v>3.64</v>
      </c>
      <c r="I13" s="10">
        <v>3.64</v>
      </c>
      <c r="J13" s="10">
        <v>100</v>
      </c>
      <c r="K13" s="40">
        <v>0</v>
      </c>
      <c r="L13" s="11">
        <v>0.8</v>
      </c>
      <c r="M13" s="10">
        <v>0.45</v>
      </c>
      <c r="N13" s="10">
        <v>113.5</v>
      </c>
      <c r="O13" s="10">
        <v>112.7</v>
      </c>
      <c r="P13" s="10">
        <v>1.5</v>
      </c>
      <c r="Q13" s="10">
        <v>15</v>
      </c>
    </row>
  </sheetData>
  <mergeCells count="1">
    <mergeCell ref="A1:Q1"/>
  </mergeCells>
  <pageMargins left="0" right="0" top="0" bottom="0" header="0" footer="0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N13"/>
  <sheetViews>
    <sheetView zoomScale="80" zoomScaleNormal="80" workbookViewId="0">
      <selection activeCell="AJ8" sqref="AJ8:AJ12"/>
    </sheetView>
  </sheetViews>
  <sheetFormatPr defaultRowHeight="15" x14ac:dyDescent="0.25"/>
  <cols>
    <col min="1" max="1" width="5.85546875" bestFit="1" customWidth="1"/>
    <col min="2" max="3" width="7.28515625" bestFit="1" customWidth="1"/>
    <col min="4" max="4" width="4.42578125" bestFit="1" customWidth="1"/>
    <col min="5" max="6" width="7.28515625" bestFit="1" customWidth="1"/>
    <col min="7" max="7" width="4.42578125" bestFit="1" customWidth="1"/>
    <col min="8" max="9" width="8.42578125" bestFit="1" customWidth="1"/>
    <col min="10" max="10" width="4.42578125" bestFit="1" customWidth="1"/>
    <col min="11" max="12" width="7.28515625" bestFit="1" customWidth="1"/>
    <col min="13" max="13" width="4.42578125" bestFit="1" customWidth="1"/>
    <col min="14" max="15" width="6.140625" bestFit="1" customWidth="1"/>
    <col min="16" max="16" width="4.42578125" bestFit="1" customWidth="1"/>
    <col min="17" max="18" width="8.42578125" bestFit="1" customWidth="1"/>
    <col min="19" max="19" width="4.42578125" bestFit="1" customWidth="1"/>
    <col min="20" max="21" width="8.42578125" bestFit="1" customWidth="1"/>
    <col min="22" max="22" width="4.42578125" bestFit="1" customWidth="1"/>
    <col min="23" max="23" width="6" bestFit="1" customWidth="1"/>
    <col min="24" max="24" width="6.140625" bestFit="1" customWidth="1"/>
    <col min="25" max="25" width="4.42578125" bestFit="1" customWidth="1"/>
    <col min="26" max="27" width="6.140625" bestFit="1" customWidth="1"/>
    <col min="28" max="28" width="5.140625" bestFit="1" customWidth="1"/>
    <col min="29" max="30" width="6.140625" bestFit="1" customWidth="1"/>
    <col min="31" max="31" width="5.140625" bestFit="1" customWidth="1"/>
    <col min="32" max="32" width="6.28515625" bestFit="1" customWidth="1"/>
    <col min="33" max="33" width="6.140625" bestFit="1" customWidth="1"/>
    <col min="34" max="34" width="5.140625" bestFit="1" customWidth="1"/>
    <col min="35" max="36" width="6.140625" bestFit="1" customWidth="1"/>
    <col min="37" max="37" width="5" bestFit="1" customWidth="1"/>
  </cols>
  <sheetData>
    <row r="1" spans="1:40" ht="32.25" thickBot="1" x14ac:dyDescent="0.3">
      <c r="A1" s="12"/>
      <c r="B1" s="13" t="s">
        <v>1</v>
      </c>
      <c r="C1" s="12"/>
      <c r="D1" s="12"/>
      <c r="E1" s="12" t="s">
        <v>2</v>
      </c>
      <c r="F1" s="12"/>
      <c r="G1" s="12"/>
      <c r="H1" s="12" t="s">
        <v>3</v>
      </c>
      <c r="I1" s="12"/>
      <c r="J1" s="12"/>
      <c r="K1" s="12" t="s">
        <v>4</v>
      </c>
      <c r="L1" s="12"/>
      <c r="M1" s="12"/>
      <c r="N1" s="12" t="s">
        <v>5</v>
      </c>
      <c r="O1" s="12"/>
      <c r="P1" s="12"/>
      <c r="Q1" s="12" t="s">
        <v>6</v>
      </c>
      <c r="R1" s="12"/>
      <c r="S1" s="12"/>
      <c r="T1" s="12" t="s">
        <v>7</v>
      </c>
      <c r="U1" s="12"/>
      <c r="V1" s="12"/>
      <c r="W1" s="12" t="s">
        <v>8</v>
      </c>
      <c r="X1" s="12"/>
      <c r="Y1" s="12"/>
      <c r="Z1" s="12" t="s">
        <v>9</v>
      </c>
      <c r="AA1" s="12"/>
      <c r="AB1" s="12"/>
      <c r="AC1" s="12" t="s">
        <v>10</v>
      </c>
      <c r="AD1" s="12"/>
      <c r="AE1" s="12"/>
      <c r="AF1" s="12" t="s">
        <v>11</v>
      </c>
      <c r="AG1" s="12"/>
      <c r="AH1" s="12"/>
      <c r="AI1" s="12" t="s">
        <v>12</v>
      </c>
      <c r="AJ1" s="12"/>
      <c r="AK1" s="14"/>
    </row>
    <row r="2" spans="1:40" ht="19.5" thickBot="1" x14ac:dyDescent="0.3">
      <c r="A2" s="36">
        <v>1</v>
      </c>
      <c r="B2" s="19">
        <f>AGUA!F3/1000</f>
        <v>3.5999999999999997E-4</v>
      </c>
      <c r="C2" s="20">
        <f>[1]output_exemplo_neto!A1</f>
        <v>1.5399999999999999E-3</v>
      </c>
      <c r="D2" s="17" t="str">
        <f>IF(ABS(B2-C2)&lt;0.001,"OK","Erro")</f>
        <v>Erro</v>
      </c>
      <c r="E2" s="19">
        <f>AGUA!G3/1000</f>
        <v>3.5999999999999997E-4</v>
      </c>
      <c r="F2" s="20">
        <f>[1]output_exemplo_neto!B1</f>
        <v>1.5399999999999999E-3</v>
      </c>
      <c r="G2" s="17" t="str">
        <f>IF(ABS(E2-F2)&lt;0.0001,"OK","Erro")</f>
        <v>Erro</v>
      </c>
      <c r="H2" s="31">
        <f>AGUA!H3/1000</f>
        <v>0</v>
      </c>
      <c r="I2" s="30">
        <f>[1]output_exemplo_neto!C1</f>
        <v>0</v>
      </c>
      <c r="J2" s="17" t="str">
        <f>IF(ABS(H2-I2)&lt;0.0001,"OK","Erro")</f>
        <v>OK</v>
      </c>
      <c r="K2" s="19">
        <f>AGUA!I3/1000</f>
        <v>1.7999999999999998E-4</v>
      </c>
      <c r="L2" s="20">
        <f>[1]output_exemplo_neto!D1</f>
        <v>7.6999999999999996E-4</v>
      </c>
      <c r="M2" s="17" t="str">
        <f>IF(ABS(K2-L2)&lt;0.0001,"OK","Erro")</f>
        <v>Erro</v>
      </c>
      <c r="N2" s="22">
        <f>AGUA!J3/1000</f>
        <v>0.05</v>
      </c>
      <c r="O2" s="23">
        <f>[1]output_exemplo_neto!E1</f>
        <v>0.05</v>
      </c>
      <c r="P2" s="18" t="str">
        <f>IF(ABS(N2-O2)&lt;0.0001,"OK","Erro")</f>
        <v>OK</v>
      </c>
      <c r="Q2" s="31">
        <f>AGUA!K3</f>
        <v>0</v>
      </c>
      <c r="R2" s="30">
        <f>[1]output_exemplo_neto!F1</f>
        <v>4.8999999999999998E-3</v>
      </c>
      <c r="S2" s="21" t="str">
        <f>IF(ABS(Q2-R2)&lt;0.0001,"OK","Erro")</f>
        <v>Erro</v>
      </c>
      <c r="T2" s="31">
        <f>AGUA!L3</f>
        <v>7.0000000000000007E-2</v>
      </c>
      <c r="U2" s="30">
        <f>[1]output_exemplo_neto!G1</f>
        <v>0.49270000000000003</v>
      </c>
      <c r="V2" s="24" t="str">
        <f>IF(ABS(T2-U2)&lt;0.0001,"OK","Erro")</f>
        <v>Erro</v>
      </c>
      <c r="W2" s="15">
        <f>AGUA!M3</f>
        <v>0.18</v>
      </c>
      <c r="X2" s="23">
        <f>[1]output_exemplo_neto!H1</f>
        <v>0.39219999999999999</v>
      </c>
      <c r="Y2" s="18" t="str">
        <f>IF(ABS(W2-X2)&lt;0.0001,"OK","Erro")</f>
        <v>Erro</v>
      </c>
      <c r="Z2" s="15">
        <f>AGUA!N3</f>
        <v>109.83</v>
      </c>
      <c r="AA2" s="16">
        <f>[1]output_exemplo_neto!I1</f>
        <v>91.492699999999999</v>
      </c>
      <c r="AB2" s="17" t="str">
        <f>IF(ABS(Z2-AA2)&lt;0.001,"OK","Erro")</f>
        <v>Erro</v>
      </c>
      <c r="AC2" s="15">
        <f>AGUA!O3</f>
        <v>109.76</v>
      </c>
      <c r="AD2" s="16">
        <f>[1]output_exemplo_neto!J1</f>
        <v>91</v>
      </c>
      <c r="AE2" s="17" t="str">
        <f>IF(ABS(AC2-AD2)&lt;0.001,"OK","Erro")</f>
        <v>Erro</v>
      </c>
      <c r="AF2" s="15">
        <f>AGUA!P3</f>
        <v>42.63</v>
      </c>
      <c r="AG2" s="16">
        <f>AA2 -AGUA!C3</f>
        <v>24.292699999999996</v>
      </c>
      <c r="AH2" s="25" t="str">
        <f>IF(ABS(AF2-AG2)&lt;0.001,"OK","Erro")</f>
        <v>Erro</v>
      </c>
      <c r="AI2" s="15">
        <f>AGUA!Q3</f>
        <v>45.96</v>
      </c>
      <c r="AJ2" s="16">
        <f>AD2-AGUA!D3</f>
        <v>27.200000000000003</v>
      </c>
      <c r="AK2" s="26" t="str">
        <f>IF(ABS(AI2-AJ2)&lt;0.001,"OK","Erro")</f>
        <v>Erro</v>
      </c>
      <c r="AL2" s="32"/>
      <c r="AM2" s="32"/>
      <c r="AN2" s="32"/>
    </row>
    <row r="3" spans="1:40" ht="19.5" thickBot="1" x14ac:dyDescent="0.3">
      <c r="A3" s="2">
        <v>2</v>
      </c>
      <c r="B3" s="19">
        <f>AGUA!F4/1000</f>
        <v>8.8000000000000003E-4</v>
      </c>
      <c r="C3" s="20">
        <f>[1]output_exemplo_neto!A2</f>
        <v>3.0799999999999998E-3</v>
      </c>
      <c r="D3" s="17" t="str">
        <f t="shared" ref="D3:D12" si="0">IF(ABS(B3-C3)&lt;0.001,"OK","Erro")</f>
        <v>Erro</v>
      </c>
      <c r="E3" s="19">
        <f>AGUA!G4/1000</f>
        <v>5.2000000000000006E-4</v>
      </c>
      <c r="F3" s="20">
        <f>[1]output_exemplo_neto!B2</f>
        <v>1.5399999999999999E-3</v>
      </c>
      <c r="G3" s="27" t="str">
        <f t="shared" ref="G3:G12" si="1">IF(ABS(E3-F3)&lt;0.0001,"OK","Erro")</f>
        <v>Erro</v>
      </c>
      <c r="H3" s="31">
        <f>AGUA!H4/1000</f>
        <v>3.5999999999999997E-4</v>
      </c>
      <c r="I3" s="30">
        <f>[1]output_exemplo_neto!C2</f>
        <v>1.5399999999999999E-3</v>
      </c>
      <c r="J3" s="27" t="str">
        <f t="shared" ref="J3:J12" si="2">IF(ABS(H3-I3)&lt;0.0001,"OK","Erro")</f>
        <v>Erro</v>
      </c>
      <c r="K3" s="19">
        <f>AGUA!I4/1000</f>
        <v>6.2E-4</v>
      </c>
      <c r="L3" s="20">
        <f>[1]output_exemplo_neto!D2</f>
        <v>2.31E-3</v>
      </c>
      <c r="M3" s="27" t="str">
        <f t="shared" ref="M3:M12" si="3">IF(ABS(K3-L3)&lt;0.0001,"OK","Erro")</f>
        <v>Erro</v>
      </c>
      <c r="N3" s="22">
        <f>AGUA!J4/1000</f>
        <v>0.05</v>
      </c>
      <c r="O3" s="23">
        <f>[1]output_exemplo_neto!E2</f>
        <v>0.1</v>
      </c>
      <c r="P3" s="28" t="str">
        <f t="shared" ref="P3:P12" si="4">IF(ABS(N3-O3)&lt;0.0001,"OK","Erro")</f>
        <v>Erro</v>
      </c>
      <c r="Q3" s="31">
        <f>AGUA!K4</f>
        <v>0</v>
      </c>
      <c r="R3" s="30">
        <f>[1]output_exemplo_neto!F2</f>
        <v>1.2999999999999999E-3</v>
      </c>
      <c r="S3" s="21" t="str">
        <f t="shared" ref="S3:S12" si="5">IF(ABS(Q3-R3)&lt;0.0001,"OK","Erro")</f>
        <v>Erro</v>
      </c>
      <c r="T3" s="31">
        <f>AGUA!L4</f>
        <v>0.8</v>
      </c>
      <c r="U3" s="30">
        <f>[1]output_exemplo_neto!G2</f>
        <v>0.12859999999999999</v>
      </c>
      <c r="V3" s="29" t="str">
        <f t="shared" ref="V3:V12" si="6">IF(ABS(T3-U3)&lt;0.0001,"OK","Erro")</f>
        <v>Erro</v>
      </c>
      <c r="W3" s="15">
        <f>AGUA!M4</f>
        <v>0.45</v>
      </c>
      <c r="X3" s="23">
        <f>[1]output_exemplo_neto!H2</f>
        <v>0.29409999999999997</v>
      </c>
      <c r="Y3" s="28" t="str">
        <f t="shared" ref="Y3:Y12" si="7">IF(ABS(W3-X3)&lt;0.0001,"OK","Erro")</f>
        <v>Erro</v>
      </c>
      <c r="Z3" s="15">
        <f>AGUA!N4</f>
        <v>119.63</v>
      </c>
      <c r="AA3" s="16">
        <f>[1]output_exemplo_neto!I2</f>
        <v>91.621300000000005</v>
      </c>
      <c r="AB3" s="17" t="str">
        <f t="shared" ref="AB3:AB12" si="8">IF(ABS(Z3-AA3)&lt;0.001,"OK","Erro")</f>
        <v>Erro</v>
      </c>
      <c r="AC3" s="15">
        <f>AGUA!O4</f>
        <v>109.83</v>
      </c>
      <c r="AD3" s="16">
        <f>[1]output_exemplo_neto!J2</f>
        <v>91.492699999999999</v>
      </c>
      <c r="AE3" s="17" t="str">
        <f t="shared" ref="AE3:AE12" si="9">IF(ABS(AC3-AD3)&lt;0.001,"OK","Erro")</f>
        <v>Erro</v>
      </c>
      <c r="AF3" s="15">
        <f>AGUA!P4</f>
        <v>41.14</v>
      </c>
      <c r="AG3" s="16">
        <f>AA3 -AGUA!C4</f>
        <v>31.121300000000005</v>
      </c>
      <c r="AH3" s="27" t="str">
        <f t="shared" ref="AH3:AH12" si="10">IF(ABS(AF3-AG3)&lt;0.001,"OK","Erro")</f>
        <v>Erro</v>
      </c>
      <c r="AI3" s="15">
        <f>AGUA!Q4</f>
        <v>42.63</v>
      </c>
      <c r="AJ3" s="16">
        <f>AD3-AGUA!D4</f>
        <v>24.292699999999996</v>
      </c>
      <c r="AK3" s="26" t="str">
        <f t="shared" ref="AK3:AK12" si="11">IF(ABS(AI3-AJ3)&lt;0.001,"OK","Erro")</f>
        <v>Erro</v>
      </c>
      <c r="AL3" s="32"/>
      <c r="AM3" s="32"/>
      <c r="AN3" s="32"/>
    </row>
    <row r="4" spans="1:40" ht="19.5" thickBot="1" x14ac:dyDescent="0.3">
      <c r="A4" s="2">
        <v>3</v>
      </c>
      <c r="B4" s="19">
        <f>AGUA!F5/1000</f>
        <v>2.3999999999999998E-4</v>
      </c>
      <c r="C4" s="20">
        <f>[1]output_exemplo_neto!A3</f>
        <v>2.31E-3</v>
      </c>
      <c r="D4" s="17" t="str">
        <f t="shared" si="0"/>
        <v>Erro</v>
      </c>
      <c r="E4" s="19">
        <f>AGUA!G5/1000</f>
        <v>2.3999999999999998E-4</v>
      </c>
      <c r="F4" s="20">
        <f>[1]output_exemplo_neto!B3</f>
        <v>2.31E-3</v>
      </c>
      <c r="G4" s="27" t="str">
        <f t="shared" si="1"/>
        <v>Erro</v>
      </c>
      <c r="H4" s="31">
        <f>AGUA!H5/1000</f>
        <v>0</v>
      </c>
      <c r="I4" s="30">
        <f>[1]output_exemplo_neto!C3</f>
        <v>0</v>
      </c>
      <c r="J4" s="27" t="str">
        <f t="shared" si="2"/>
        <v>OK</v>
      </c>
      <c r="K4" s="19">
        <f>AGUA!I5/1000</f>
        <v>1.1999999999999999E-4</v>
      </c>
      <c r="L4" s="20">
        <f>[1]output_exemplo_neto!D3</f>
        <v>1.155E-3</v>
      </c>
      <c r="M4" s="27" t="str">
        <f t="shared" si="3"/>
        <v>Erro</v>
      </c>
      <c r="N4" s="22">
        <f>AGUA!J5/1000</f>
        <v>0.05</v>
      </c>
      <c r="O4" s="23">
        <f>[1]output_exemplo_neto!E3</f>
        <v>7.4999999999999997E-2</v>
      </c>
      <c r="P4" s="28" t="str">
        <f t="shared" si="4"/>
        <v>Erro</v>
      </c>
      <c r="Q4" s="31">
        <f>AGUA!K5</f>
        <v>0</v>
      </c>
      <c r="R4" s="30">
        <f>[1]output_exemplo_neto!F3</f>
        <v>1.4E-3</v>
      </c>
      <c r="S4" s="21" t="str">
        <f t="shared" si="5"/>
        <v>Erro</v>
      </c>
      <c r="T4" s="31">
        <f>AGUA!L5</f>
        <v>0.01</v>
      </c>
      <c r="U4" s="30">
        <f>[1]output_exemplo_neto!G3</f>
        <v>0.2172</v>
      </c>
      <c r="V4" s="29" t="str">
        <f t="shared" si="6"/>
        <v>Erro</v>
      </c>
      <c r="W4" s="15">
        <f>AGUA!M5</f>
        <v>0.12</v>
      </c>
      <c r="X4" s="23">
        <f>[1]output_exemplo_neto!H3</f>
        <v>0.26140000000000002</v>
      </c>
      <c r="Y4" s="28" t="str">
        <f t="shared" si="7"/>
        <v>Erro</v>
      </c>
      <c r="Z4" s="15">
        <f>AGUA!N5</f>
        <v>110.63</v>
      </c>
      <c r="AA4" s="16">
        <f>[1]output_exemplo_neto!I3</f>
        <v>91.621300000000005</v>
      </c>
      <c r="AB4" s="17" t="str">
        <f t="shared" si="8"/>
        <v>Erro</v>
      </c>
      <c r="AC4" s="15">
        <f>AGUA!O5</f>
        <v>110.62</v>
      </c>
      <c r="AD4" s="16">
        <f>[1]output_exemplo_neto!J3</f>
        <v>91.4041</v>
      </c>
      <c r="AE4" s="17" t="str">
        <f t="shared" si="9"/>
        <v>Erro</v>
      </c>
      <c r="AF4" s="15">
        <f>AGUA!P5</f>
        <v>41.13</v>
      </c>
      <c r="AG4" s="16">
        <f>AA4 -AGUA!C5</f>
        <v>22.121300000000005</v>
      </c>
      <c r="AH4" s="27" t="str">
        <f t="shared" si="10"/>
        <v>Erro</v>
      </c>
      <c r="AI4" s="15">
        <f>AGUA!Q5</f>
        <v>38.619999999999997</v>
      </c>
      <c r="AJ4" s="16">
        <f>AD4-AGUA!D5</f>
        <v>19.4041</v>
      </c>
      <c r="AK4" s="26" t="str">
        <f t="shared" si="11"/>
        <v>Erro</v>
      </c>
      <c r="AL4" s="32"/>
      <c r="AM4" s="32"/>
      <c r="AN4" s="32"/>
    </row>
    <row r="5" spans="1:40" ht="19.5" thickBot="1" x14ac:dyDescent="0.3">
      <c r="A5" s="2">
        <v>4</v>
      </c>
      <c r="B5" s="19">
        <f>AGUA!F6/1000</f>
        <v>1.56E-3</v>
      </c>
      <c r="C5" s="20">
        <f>[1]output_exemplo_neto!A4</f>
        <v>7.7000000000000002E-3</v>
      </c>
      <c r="D5" s="17" t="str">
        <f t="shared" si="0"/>
        <v>Erro</v>
      </c>
      <c r="E5" s="19">
        <f>AGUA!G6/1000</f>
        <v>4.4000000000000002E-4</v>
      </c>
      <c r="F5" s="20">
        <f>[1]output_exemplo_neto!B4</f>
        <v>2.31E-3</v>
      </c>
      <c r="G5" s="27" t="str">
        <f t="shared" si="1"/>
        <v>Erro</v>
      </c>
      <c r="H5" s="31">
        <f>AGUA!H6/1000</f>
        <v>1.1200000000000001E-3</v>
      </c>
      <c r="I5" s="30">
        <f>[1]output_exemplo_neto!C4</f>
        <v>5.3899999999999998E-3</v>
      </c>
      <c r="J5" s="27" t="str">
        <f t="shared" si="2"/>
        <v>Erro</v>
      </c>
      <c r="K5" s="19">
        <f>AGUA!I6/1000</f>
        <v>1.34E-3</v>
      </c>
      <c r="L5" s="20">
        <f>[1]output_exemplo_neto!D4</f>
        <v>6.5449999999999996E-3</v>
      </c>
      <c r="M5" s="27" t="str">
        <f t="shared" si="3"/>
        <v>Erro</v>
      </c>
      <c r="N5" s="22">
        <f>AGUA!J6/1000</f>
        <v>7.4999999999999997E-2</v>
      </c>
      <c r="O5" s="23">
        <f>[1]output_exemplo_neto!E4</f>
        <v>0.15</v>
      </c>
      <c r="P5" s="28" t="str">
        <f t="shared" si="4"/>
        <v>Erro</v>
      </c>
      <c r="Q5" s="31">
        <f>AGUA!K6</f>
        <v>0</v>
      </c>
      <c r="R5" s="30">
        <f>[1]output_exemplo_neto!F4</f>
        <v>1.1999999999999999E-3</v>
      </c>
      <c r="S5" s="21" t="str">
        <f t="shared" si="5"/>
        <v>Erro</v>
      </c>
      <c r="T5" s="31">
        <f>AGUA!L6</f>
        <v>0.4</v>
      </c>
      <c r="U5" s="30">
        <f>[1]output_exemplo_neto!G4</f>
        <v>0.18390000000000001</v>
      </c>
      <c r="V5" s="29" t="str">
        <f t="shared" si="6"/>
        <v>Erro</v>
      </c>
      <c r="W5" s="15">
        <f>AGUA!M6</f>
        <v>0.35</v>
      </c>
      <c r="X5" s="23">
        <f>[1]output_exemplo_neto!H4</f>
        <v>0.37040000000000001</v>
      </c>
      <c r="Y5" s="28" t="str">
        <f t="shared" si="7"/>
        <v>Erro</v>
      </c>
      <c r="Z5" s="15">
        <f>AGUA!N6</f>
        <v>111.03</v>
      </c>
      <c r="AA5" s="16">
        <f>[1]output_exemplo_neto!I4</f>
        <v>91.805199999999999</v>
      </c>
      <c r="AB5" s="17" t="str">
        <f t="shared" si="8"/>
        <v>Erro</v>
      </c>
      <c r="AC5" s="15">
        <f>AGUA!O6</f>
        <v>110.63</v>
      </c>
      <c r="AD5" s="16">
        <f>[1]output_exemplo_neto!J4</f>
        <v>91.621300000000005</v>
      </c>
      <c r="AE5" s="17" t="str">
        <f t="shared" si="9"/>
        <v>Erro</v>
      </c>
      <c r="AF5" s="15">
        <f>AGUA!P6</f>
        <v>33.630000000000003</v>
      </c>
      <c r="AG5" s="16">
        <f>AA5 -AGUA!C6</f>
        <v>14.405199999999994</v>
      </c>
      <c r="AH5" s="27" t="str">
        <f t="shared" si="10"/>
        <v>Erro</v>
      </c>
      <c r="AI5" s="15">
        <f>AGUA!Q6</f>
        <v>41.13</v>
      </c>
      <c r="AJ5" s="16">
        <f>AD5-AGUA!D6</f>
        <v>22.121300000000005</v>
      </c>
      <c r="AK5" s="26" t="str">
        <f t="shared" si="11"/>
        <v>Erro</v>
      </c>
      <c r="AL5" s="32"/>
      <c r="AM5" s="32"/>
      <c r="AN5" s="32"/>
    </row>
    <row r="6" spans="1:40" ht="19.5" thickBot="1" x14ac:dyDescent="0.3">
      <c r="A6" s="2">
        <v>5</v>
      </c>
      <c r="B6" s="19">
        <f>AGUA!F7/1000</f>
        <v>2.8000000000000003E-4</v>
      </c>
      <c r="C6" s="20">
        <f>[1]output_exemplo_neto!A5</f>
        <v>1.232E-3</v>
      </c>
      <c r="D6" s="17" t="str">
        <f t="shared" si="0"/>
        <v>OK</v>
      </c>
      <c r="E6" s="19">
        <f>AGUA!G7/1000</f>
        <v>2.8000000000000003E-4</v>
      </c>
      <c r="F6" s="20">
        <f>[1]output_exemplo_neto!B5</f>
        <v>1.232E-3</v>
      </c>
      <c r="G6" s="27" t="str">
        <f t="shared" si="1"/>
        <v>Erro</v>
      </c>
      <c r="H6" s="31">
        <f>AGUA!H7/1000</f>
        <v>0</v>
      </c>
      <c r="I6" s="30">
        <f>[1]output_exemplo_neto!C5</f>
        <v>0</v>
      </c>
      <c r="J6" s="27" t="str">
        <f t="shared" si="2"/>
        <v>OK</v>
      </c>
      <c r="K6" s="19">
        <f>AGUA!I7/1000</f>
        <v>1.4000000000000001E-4</v>
      </c>
      <c r="L6" s="20">
        <f>[1]output_exemplo_neto!D5</f>
        <v>6.1600000000000001E-4</v>
      </c>
      <c r="M6" s="27" t="str">
        <f t="shared" si="3"/>
        <v>Erro</v>
      </c>
      <c r="N6" s="22">
        <f>AGUA!J7/1000</f>
        <v>0.05</v>
      </c>
      <c r="O6" s="23">
        <f>[1]output_exemplo_neto!E5</f>
        <v>0.05</v>
      </c>
      <c r="P6" s="28" t="str">
        <f t="shared" si="4"/>
        <v>OK</v>
      </c>
      <c r="Q6" s="31">
        <f>AGUA!K7</f>
        <v>0</v>
      </c>
      <c r="R6" s="30">
        <f>[1]output_exemplo_neto!F5</f>
        <v>3.3E-3</v>
      </c>
      <c r="S6" s="21" t="str">
        <f t="shared" si="5"/>
        <v>Erro</v>
      </c>
      <c r="T6" s="31">
        <f>AGUA!L7</f>
        <v>0.06</v>
      </c>
      <c r="U6" s="30">
        <f>[1]output_exemplo_neto!G5</f>
        <v>0.26079999999999998</v>
      </c>
      <c r="V6" s="29" t="str">
        <f t="shared" si="6"/>
        <v>Erro</v>
      </c>
      <c r="W6" s="15">
        <f>AGUA!M7</f>
        <v>0.14000000000000001</v>
      </c>
      <c r="X6" s="23">
        <f>[1]output_exemplo_neto!H5</f>
        <v>0.31369999999999998</v>
      </c>
      <c r="Y6" s="28" t="str">
        <f t="shared" si="7"/>
        <v>Erro</v>
      </c>
      <c r="Z6" s="15">
        <f>AGUA!N7</f>
        <v>110.59</v>
      </c>
      <c r="AA6" s="16">
        <f>[1]output_exemplo_neto!I5</f>
        <v>90.878</v>
      </c>
      <c r="AB6" s="17" t="str">
        <f t="shared" si="8"/>
        <v>Erro</v>
      </c>
      <c r="AC6" s="15">
        <f>AGUA!O7</f>
        <v>110.53</v>
      </c>
      <c r="AD6" s="16">
        <f>[1]output_exemplo_neto!J5</f>
        <v>90.617099999999994</v>
      </c>
      <c r="AE6" s="17" t="str">
        <f t="shared" si="9"/>
        <v>Erro</v>
      </c>
      <c r="AF6" s="15">
        <f>AGUA!P7</f>
        <v>38.89</v>
      </c>
      <c r="AG6" s="16">
        <f>AA6 -AGUA!C7</f>
        <v>19.177999999999997</v>
      </c>
      <c r="AH6" s="27" t="str">
        <f t="shared" si="10"/>
        <v>Erro</v>
      </c>
      <c r="AI6" s="15">
        <f>AGUA!Q7</f>
        <v>43.33</v>
      </c>
      <c r="AJ6" s="16">
        <f>AD6-AGUA!D7</f>
        <v>23.417099999999991</v>
      </c>
      <c r="AK6" s="26" t="str">
        <f t="shared" si="11"/>
        <v>Erro</v>
      </c>
      <c r="AL6" s="32"/>
      <c r="AM6" s="32"/>
      <c r="AN6" s="32"/>
    </row>
    <row r="7" spans="1:40" ht="19.5" thickBot="1" x14ac:dyDescent="0.3">
      <c r="A7" s="2">
        <v>6</v>
      </c>
      <c r="B7" s="19">
        <f>AGUA!F8/1000</f>
        <v>7.1999999999999994E-4</v>
      </c>
      <c r="C7" s="20">
        <f>[1]output_exemplo_neto!A6</f>
        <v>1.848E-3</v>
      </c>
      <c r="D7" s="17" t="str">
        <f t="shared" si="0"/>
        <v>Erro</v>
      </c>
      <c r="E7" s="19">
        <f>AGUA!G8/1000</f>
        <v>4.4000000000000002E-4</v>
      </c>
      <c r="F7" s="20">
        <f>[1]output_exemplo_neto!B6</f>
        <v>1.848E-3</v>
      </c>
      <c r="G7" s="27" t="str">
        <f t="shared" si="1"/>
        <v>Erro</v>
      </c>
      <c r="H7" s="31">
        <f>AGUA!H8/1000</f>
        <v>2.8000000000000003E-4</v>
      </c>
      <c r="I7" s="30">
        <f>[1]output_exemplo_neto!C6</f>
        <v>0</v>
      </c>
      <c r="J7" s="27" t="str">
        <f t="shared" si="2"/>
        <v>Erro</v>
      </c>
      <c r="K7" s="19">
        <f>AGUA!I8/1000</f>
        <v>5.0000000000000001E-4</v>
      </c>
      <c r="L7" s="20">
        <f>[1]output_exemplo_neto!D6</f>
        <v>9.2400000000000002E-4</v>
      </c>
      <c r="M7" s="27" t="str">
        <f t="shared" si="3"/>
        <v>Erro</v>
      </c>
      <c r="N7" s="22">
        <f>AGUA!J8/1000</f>
        <v>0.05</v>
      </c>
      <c r="O7" s="23">
        <f>[1]output_exemplo_neto!E6</f>
        <v>0.05</v>
      </c>
      <c r="P7" s="28" t="str">
        <f t="shared" si="4"/>
        <v>OK</v>
      </c>
      <c r="Q7" s="31">
        <f>AGUA!K8</f>
        <v>0</v>
      </c>
      <c r="R7" s="30">
        <f>[1]output_exemplo_neto!F6</f>
        <v>6.8999999999999999E-3</v>
      </c>
      <c r="S7" s="21" t="str">
        <f t="shared" si="5"/>
        <v>Erro</v>
      </c>
      <c r="T7" s="31">
        <f>AGUA!L8</f>
        <v>0.44</v>
      </c>
      <c r="U7" s="30">
        <f>[1]output_exemplo_neto!G6</f>
        <v>0.82840000000000003</v>
      </c>
      <c r="V7" s="29" t="str">
        <f t="shared" si="6"/>
        <v>Erro</v>
      </c>
      <c r="W7" s="15">
        <f>AGUA!M8</f>
        <v>0.37</v>
      </c>
      <c r="X7" s="23">
        <f>[1]output_exemplo_neto!H6</f>
        <v>0.47060000000000002</v>
      </c>
      <c r="Y7" s="28" t="str">
        <f t="shared" si="7"/>
        <v>Erro</v>
      </c>
      <c r="Z7" s="15">
        <f>AGUA!N8</f>
        <v>111.03</v>
      </c>
      <c r="AA7" s="16">
        <f>[1]output_exemplo_neto!I6</f>
        <v>90.878</v>
      </c>
      <c r="AB7" s="17" t="str">
        <f t="shared" si="8"/>
        <v>Erro</v>
      </c>
      <c r="AC7" s="15">
        <f>AGUA!O8</f>
        <v>110.59</v>
      </c>
      <c r="AD7" s="16">
        <f>[1]output_exemplo_neto!J6</f>
        <v>90.049599999999998</v>
      </c>
      <c r="AE7" s="17" t="str">
        <f t="shared" si="9"/>
        <v>Erro</v>
      </c>
      <c r="AF7" s="15">
        <f>AGUA!P8</f>
        <v>33.630000000000003</v>
      </c>
      <c r="AG7" s="16">
        <f>AA7 -AGUA!C8</f>
        <v>13.477999999999994</v>
      </c>
      <c r="AH7" s="27" t="str">
        <f t="shared" si="10"/>
        <v>Erro</v>
      </c>
      <c r="AI7" s="15">
        <f>AGUA!Q8</f>
        <v>38.89</v>
      </c>
      <c r="AJ7" s="16">
        <f>AD7-AGUA!D8</f>
        <v>18.349599999999995</v>
      </c>
      <c r="AK7" s="26" t="str">
        <f t="shared" si="11"/>
        <v>Erro</v>
      </c>
      <c r="AL7" s="32"/>
      <c r="AM7" s="32"/>
      <c r="AN7" s="32"/>
    </row>
    <row r="8" spans="1:40" ht="19.5" thickBot="1" x14ac:dyDescent="0.3">
      <c r="A8" s="2">
        <v>7</v>
      </c>
      <c r="B8" s="19">
        <f>AGUA!F9/1000</f>
        <v>5.2000000000000006E-4</v>
      </c>
      <c r="C8" s="20">
        <f>[1]output_exemplo_neto!A7</f>
        <v>6.1599999999999997E-3</v>
      </c>
      <c r="D8" s="17" t="str">
        <f t="shared" si="0"/>
        <v>Erro</v>
      </c>
      <c r="E8" s="19">
        <f>AGUA!G9/1000</f>
        <v>5.2000000000000006E-4</v>
      </c>
      <c r="F8" s="20">
        <f>[1]output_exemplo_neto!B7</f>
        <v>3.0799999999999998E-3</v>
      </c>
      <c r="G8" s="27" t="str">
        <f t="shared" si="1"/>
        <v>Erro</v>
      </c>
      <c r="H8" s="31">
        <f>AGUA!H9/1000</f>
        <v>0</v>
      </c>
      <c r="I8" s="30">
        <f>[1]output_exemplo_neto!C7</f>
        <v>3.0799999999999998E-3</v>
      </c>
      <c r="J8" s="27" t="str">
        <f t="shared" si="2"/>
        <v>Erro</v>
      </c>
      <c r="K8" s="19">
        <f>AGUA!I9/1000</f>
        <v>2.6000000000000003E-4</v>
      </c>
      <c r="L8" s="20">
        <f>[1]output_exemplo_neto!D7</f>
        <v>4.62E-3</v>
      </c>
      <c r="M8" s="27" t="str">
        <f t="shared" si="3"/>
        <v>Erro</v>
      </c>
      <c r="N8" s="22">
        <f>AGUA!J9/1000</f>
        <v>0.05</v>
      </c>
      <c r="O8" s="23">
        <f>[1]output_exemplo_neto!E7</f>
        <v>0.1</v>
      </c>
      <c r="P8" s="28" t="str">
        <f t="shared" si="4"/>
        <v>Erro</v>
      </c>
      <c r="Q8" s="31">
        <f>AGUA!K9</f>
        <v>0</v>
      </c>
      <c r="R8" s="30">
        <f>[1]output_exemplo_neto!F7</f>
        <v>4.5999999999999999E-3</v>
      </c>
      <c r="S8" s="21" t="str">
        <f t="shared" si="5"/>
        <v>Erro</v>
      </c>
      <c r="T8" s="31">
        <f>AGUA!L9</f>
        <v>0.16</v>
      </c>
      <c r="U8" s="30">
        <f>[1]output_exemplo_neto!G7</f>
        <v>0.92720000000000002</v>
      </c>
      <c r="V8" s="29" t="str">
        <f t="shared" si="6"/>
        <v>Erro</v>
      </c>
      <c r="W8" s="15">
        <f>AGUA!M9</f>
        <v>0.26</v>
      </c>
      <c r="X8" s="23">
        <f>[1]output_exemplo_neto!H7</f>
        <v>0.58819999999999995</v>
      </c>
      <c r="Y8" s="28" t="str">
        <f t="shared" si="7"/>
        <v>Erro</v>
      </c>
      <c r="Z8" s="15">
        <f>AGUA!N9</f>
        <v>111.03</v>
      </c>
      <c r="AA8" s="16">
        <f>[1]output_exemplo_neto!I7</f>
        <v>91.805199999999999</v>
      </c>
      <c r="AB8" s="17" t="str">
        <f t="shared" si="8"/>
        <v>Erro</v>
      </c>
      <c r="AC8" s="15">
        <f>AGUA!O9</f>
        <v>110.87</v>
      </c>
      <c r="AD8" s="16">
        <f>[1]output_exemplo_neto!J7</f>
        <v>90.878</v>
      </c>
      <c r="AE8" s="17" t="str">
        <f t="shared" si="9"/>
        <v>Erro</v>
      </c>
      <c r="AF8" s="15">
        <f>AGUA!P9</f>
        <v>33.630000000000003</v>
      </c>
      <c r="AG8" s="16">
        <f>AA8 -AGUA!C9</f>
        <v>14.405199999999994</v>
      </c>
      <c r="AH8" s="27" t="str">
        <f t="shared" si="10"/>
        <v>Erro</v>
      </c>
      <c r="AI8" s="15">
        <f>AGUA!Q9</f>
        <v>31.87</v>
      </c>
      <c r="AJ8" s="16">
        <f>AD8-AGUA!D9</f>
        <v>11.878</v>
      </c>
      <c r="AK8" s="26" t="str">
        <f t="shared" si="11"/>
        <v>Erro</v>
      </c>
      <c r="AL8" s="32"/>
      <c r="AM8" s="32"/>
    </row>
    <row r="9" spans="1:40" ht="19.5" thickBot="1" x14ac:dyDescent="0.3">
      <c r="A9" s="2">
        <v>8</v>
      </c>
      <c r="B9" s="19">
        <f>AGUA!F10/1000</f>
        <v>3.1199999999999999E-3</v>
      </c>
      <c r="C9" s="20">
        <f>[1]output_exemplo_neto!A8</f>
        <v>2.0789999999999999E-2</v>
      </c>
      <c r="D9" s="17" t="str">
        <f t="shared" si="0"/>
        <v>Erro</v>
      </c>
      <c r="E9" s="19">
        <f>AGUA!G10/1000</f>
        <v>3.2000000000000003E-4</v>
      </c>
      <c r="F9" s="20">
        <f>[1]output_exemplo_neto!B8</f>
        <v>6.9300000000000004E-3</v>
      </c>
      <c r="G9" s="27" t="str">
        <f t="shared" si="1"/>
        <v>Erro</v>
      </c>
      <c r="H9" s="31">
        <f>AGUA!H10/1000</f>
        <v>2.8E-3</v>
      </c>
      <c r="I9" s="30">
        <f>[1]output_exemplo_neto!C8</f>
        <v>1.3860000000000001E-2</v>
      </c>
      <c r="J9" s="27" t="str">
        <f t="shared" si="2"/>
        <v>Erro</v>
      </c>
      <c r="K9" s="19">
        <f>AGUA!I10/1000</f>
        <v>2.96E-3</v>
      </c>
      <c r="L9" s="20">
        <f>[1]output_exemplo_neto!D8</f>
        <v>1.7325E-2</v>
      </c>
      <c r="M9" s="27" t="str">
        <f t="shared" si="3"/>
        <v>Erro</v>
      </c>
      <c r="N9" s="22">
        <f>AGUA!J10/1000</f>
        <v>7.4999999999999997E-2</v>
      </c>
      <c r="O9" s="23">
        <f>[1]output_exemplo_neto!E8</f>
        <v>0.2</v>
      </c>
      <c r="P9" s="28" t="str">
        <f t="shared" si="4"/>
        <v>Erro</v>
      </c>
      <c r="Q9" s="31">
        <f>AGUA!K10</f>
        <v>0</v>
      </c>
      <c r="R9" s="30">
        <f>[1]output_exemplo_neto!F8</f>
        <v>1.8E-3</v>
      </c>
      <c r="S9" s="21" t="str">
        <f t="shared" si="5"/>
        <v>Erro</v>
      </c>
      <c r="T9" s="31">
        <f>AGUA!L10</f>
        <v>1.34</v>
      </c>
      <c r="U9" s="30">
        <f>[1]output_exemplo_neto!G8</f>
        <v>0.82279999999999998</v>
      </c>
      <c r="V9" s="29" t="str">
        <f t="shared" si="6"/>
        <v>Erro</v>
      </c>
      <c r="W9" s="15">
        <f>AGUA!M10</f>
        <v>0.7</v>
      </c>
      <c r="X9" s="23">
        <f>[1]output_exemplo_neto!H8</f>
        <v>0.55149999999999999</v>
      </c>
      <c r="Y9" s="28" t="str">
        <f t="shared" si="7"/>
        <v>Erro</v>
      </c>
      <c r="Z9" s="15">
        <f>AGUA!N10</f>
        <v>112.37</v>
      </c>
      <c r="AA9" s="16">
        <f>[1]output_exemplo_neto!I8</f>
        <v>92.628</v>
      </c>
      <c r="AB9" s="17" t="str">
        <f t="shared" si="8"/>
        <v>Erro</v>
      </c>
      <c r="AC9" s="15">
        <f>AGUA!O10</f>
        <v>111.03</v>
      </c>
      <c r="AD9" s="16">
        <f>[1]output_exemplo_neto!J8</f>
        <v>91.805199999999999</v>
      </c>
      <c r="AE9" s="17" t="str">
        <f t="shared" si="9"/>
        <v>Erro</v>
      </c>
      <c r="AF9" s="15">
        <f>AGUA!P10</f>
        <v>26.5</v>
      </c>
      <c r="AG9" s="16">
        <f>AA9 -AGUA!C10</f>
        <v>6.828000000000003</v>
      </c>
      <c r="AH9" s="27" t="str">
        <f t="shared" si="10"/>
        <v>Erro</v>
      </c>
      <c r="AI9" s="15">
        <f>AGUA!Q10</f>
        <v>33.630000000000003</v>
      </c>
      <c r="AJ9" s="16">
        <f>AD9-AGUA!D10</f>
        <v>14.405199999999994</v>
      </c>
      <c r="AK9" s="26" t="str">
        <f t="shared" si="11"/>
        <v>Erro</v>
      </c>
      <c r="AL9" s="32"/>
      <c r="AM9" s="32"/>
    </row>
    <row r="10" spans="1:40" ht="19.5" thickBot="1" x14ac:dyDescent="0.3">
      <c r="A10" s="2">
        <v>9</v>
      </c>
      <c r="B10" s="19">
        <f>AGUA!F11/1000</f>
        <v>2.8000000000000003E-4</v>
      </c>
      <c r="C10" s="20">
        <f>[1]output_exemplo_neto!A9</f>
        <v>0</v>
      </c>
      <c r="D10" s="17" t="str">
        <f t="shared" si="0"/>
        <v>OK</v>
      </c>
      <c r="E10" s="19">
        <f>AGUA!G11/1000</f>
        <v>2.8000000000000003E-4</v>
      </c>
      <c r="F10" s="20">
        <f>[1]output_exemplo_neto!B9</f>
        <v>0</v>
      </c>
      <c r="G10" s="27" t="str">
        <f t="shared" si="1"/>
        <v>Erro</v>
      </c>
      <c r="H10" s="31">
        <f>AGUA!H11/1000</f>
        <v>0</v>
      </c>
      <c r="I10" s="30">
        <f>[1]output_exemplo_neto!C9</f>
        <v>0</v>
      </c>
      <c r="J10" s="27" t="str">
        <f t="shared" si="2"/>
        <v>OK</v>
      </c>
      <c r="K10" s="19">
        <f>AGUA!I11/1000</f>
        <v>1.4000000000000001E-4</v>
      </c>
      <c r="L10" s="20">
        <f>[1]output_exemplo_neto!D9</f>
        <v>0</v>
      </c>
      <c r="M10" s="27" t="str">
        <f t="shared" si="3"/>
        <v>Erro</v>
      </c>
      <c r="N10" s="22">
        <f>AGUA!J11/1000</f>
        <v>0.05</v>
      </c>
      <c r="O10" s="23">
        <f>[1]output_exemplo_neto!E9</f>
        <v>0</v>
      </c>
      <c r="P10" s="28" t="str">
        <f t="shared" si="4"/>
        <v>Erro</v>
      </c>
      <c r="Q10" s="31">
        <f>AGUA!K11</f>
        <v>0</v>
      </c>
      <c r="R10" s="30">
        <f>[1]output_exemplo_neto!F9</f>
        <v>0</v>
      </c>
      <c r="S10" s="21" t="str">
        <f t="shared" si="5"/>
        <v>OK</v>
      </c>
      <c r="T10" s="31">
        <f>AGUA!L11</f>
        <v>0.06</v>
      </c>
      <c r="U10" s="30">
        <f>[1]output_exemplo_neto!G9</f>
        <v>0</v>
      </c>
      <c r="V10" s="29" t="str">
        <f t="shared" si="6"/>
        <v>Erro</v>
      </c>
      <c r="W10" s="15">
        <f>AGUA!M11</f>
        <v>0.14000000000000001</v>
      </c>
      <c r="X10" s="23">
        <f>[1]output_exemplo_neto!H9</f>
        <v>0</v>
      </c>
      <c r="Y10" s="28" t="str">
        <f t="shared" si="7"/>
        <v>Erro</v>
      </c>
      <c r="Z10" s="15">
        <f>AGUA!N11</f>
        <v>112.37</v>
      </c>
      <c r="AA10" s="16">
        <f>[1]output_exemplo_neto!I9</f>
        <v>0</v>
      </c>
      <c r="AB10" s="17" t="str">
        <f t="shared" si="8"/>
        <v>Erro</v>
      </c>
      <c r="AC10" s="15">
        <f>AGUA!O11</f>
        <v>112.31</v>
      </c>
      <c r="AD10" s="16">
        <f>[1]output_exemplo_neto!J9</f>
        <v>0</v>
      </c>
      <c r="AE10" s="17" t="str">
        <f t="shared" si="9"/>
        <v>Erro</v>
      </c>
      <c r="AF10" s="15">
        <f>AGUA!P11</f>
        <v>26.57</v>
      </c>
      <c r="AG10" s="16">
        <f>AA10 -AGUA!C11</f>
        <v>-85.8</v>
      </c>
      <c r="AH10" s="27" t="str">
        <f t="shared" si="10"/>
        <v>Erro</v>
      </c>
      <c r="AI10" s="15">
        <f>AGUA!Q11</f>
        <v>27.91</v>
      </c>
      <c r="AJ10" s="16">
        <f>AD10-AGUA!D11</f>
        <v>-84.4</v>
      </c>
      <c r="AK10" s="26" t="str">
        <f t="shared" si="11"/>
        <v>Erro</v>
      </c>
      <c r="AL10" s="32"/>
      <c r="AM10" s="32"/>
    </row>
    <row r="11" spans="1:40" ht="19.5" thickBot="1" x14ac:dyDescent="0.3">
      <c r="A11" s="2">
        <v>10</v>
      </c>
      <c r="B11" s="19">
        <f>AGUA!F12/1000</f>
        <v>3.64E-3</v>
      </c>
      <c r="C11" s="20">
        <f>[1]output_exemplo_neto!A10</f>
        <v>0</v>
      </c>
      <c r="D11" s="17" t="str">
        <f t="shared" si="0"/>
        <v>Erro</v>
      </c>
      <c r="E11" s="19">
        <f>AGUA!G12/1000</f>
        <v>2.3999999999999998E-4</v>
      </c>
      <c r="F11" s="20">
        <f>[1]output_exemplo_neto!B10</f>
        <v>0</v>
      </c>
      <c r="G11" s="27" t="str">
        <f t="shared" si="1"/>
        <v>Erro</v>
      </c>
      <c r="H11" s="31">
        <f>AGUA!H12/1000</f>
        <v>3.3999999999999998E-3</v>
      </c>
      <c r="I11" s="30">
        <f>[1]output_exemplo_neto!C10</f>
        <v>0</v>
      </c>
      <c r="J11" s="27" t="str">
        <f t="shared" si="2"/>
        <v>Erro</v>
      </c>
      <c r="K11" s="19">
        <f>AGUA!I12/1000</f>
        <v>3.5200000000000001E-3</v>
      </c>
      <c r="L11" s="20">
        <f>[1]output_exemplo_neto!D10</f>
        <v>0</v>
      </c>
      <c r="M11" s="27" t="str">
        <f t="shared" si="3"/>
        <v>Erro</v>
      </c>
      <c r="N11" s="22">
        <f>AGUA!J12/1000</f>
        <v>0.1</v>
      </c>
      <c r="O11" s="23">
        <f>[1]output_exemplo_neto!E10</f>
        <v>0</v>
      </c>
      <c r="P11" s="28" t="str">
        <f t="shared" si="4"/>
        <v>Erro</v>
      </c>
      <c r="Q11" s="31">
        <f>AGUA!K12</f>
        <v>0</v>
      </c>
      <c r="R11" s="30">
        <f>[1]output_exemplo_neto!F10</f>
        <v>0</v>
      </c>
      <c r="S11" s="21" t="str">
        <f t="shared" si="5"/>
        <v>OK</v>
      </c>
      <c r="T11" s="31">
        <f>AGUA!L12</f>
        <v>0.33</v>
      </c>
      <c r="U11" s="30">
        <f>[1]output_exemplo_neto!G10</f>
        <v>0</v>
      </c>
      <c r="V11" s="29" t="str">
        <f t="shared" si="6"/>
        <v>Erro</v>
      </c>
      <c r="W11" s="15">
        <f>AGUA!M12</f>
        <v>0.45</v>
      </c>
      <c r="X11" s="23">
        <f>[1]output_exemplo_neto!H10</f>
        <v>0</v>
      </c>
      <c r="Y11" s="28" t="str">
        <f t="shared" si="7"/>
        <v>Erro</v>
      </c>
      <c r="Z11" s="15">
        <f>AGUA!N12</f>
        <v>112.7</v>
      </c>
      <c r="AA11" s="16">
        <f>[1]output_exemplo_neto!I10</f>
        <v>0</v>
      </c>
      <c r="AB11" s="17" t="str">
        <f t="shared" si="8"/>
        <v>Erro</v>
      </c>
      <c r="AC11" s="15">
        <f>AGUA!O12</f>
        <v>112.37</v>
      </c>
      <c r="AD11" s="16">
        <f>[1]output_exemplo_neto!J10</f>
        <v>0</v>
      </c>
      <c r="AE11" s="17" t="str">
        <f t="shared" si="9"/>
        <v>Erro</v>
      </c>
      <c r="AF11" s="15">
        <f>AGUA!P12</f>
        <v>15</v>
      </c>
      <c r="AG11" s="16">
        <f>AA11 -AGUA!C12</f>
        <v>-97.7</v>
      </c>
      <c r="AH11" s="27" t="str">
        <f t="shared" si="10"/>
        <v>Erro</v>
      </c>
      <c r="AI11" s="15">
        <f>AGUA!Q12</f>
        <v>26.57</v>
      </c>
      <c r="AJ11" s="16">
        <f>AD11-AGUA!D12</f>
        <v>-85.8</v>
      </c>
      <c r="AK11" s="26" t="str">
        <f t="shared" si="11"/>
        <v>Erro</v>
      </c>
      <c r="AL11" s="32"/>
      <c r="AM11" s="32"/>
    </row>
    <row r="12" spans="1:40" ht="19.5" thickBot="1" x14ac:dyDescent="0.3">
      <c r="A12" s="2">
        <v>11</v>
      </c>
      <c r="B12" s="19">
        <f>AGUA!F13/1000</f>
        <v>3.64E-3</v>
      </c>
      <c r="C12" s="20">
        <f>[1]output_exemplo_neto!A11</f>
        <v>0</v>
      </c>
      <c r="D12" s="17" t="str">
        <f t="shared" si="0"/>
        <v>Erro</v>
      </c>
      <c r="E12" s="19">
        <f>AGUA!G13/1000</f>
        <v>0</v>
      </c>
      <c r="F12" s="20">
        <f>[1]output_exemplo_neto!B11</f>
        <v>0</v>
      </c>
      <c r="G12" s="27" t="str">
        <f t="shared" si="1"/>
        <v>OK</v>
      </c>
      <c r="H12" s="31">
        <f>AGUA!H13/1000</f>
        <v>3.64E-3</v>
      </c>
      <c r="I12" s="30">
        <f>[1]output_exemplo_neto!C11</f>
        <v>0</v>
      </c>
      <c r="J12" s="27" t="str">
        <f t="shared" si="2"/>
        <v>Erro</v>
      </c>
      <c r="K12" s="19">
        <f>AGUA!I13/1000</f>
        <v>3.64E-3</v>
      </c>
      <c r="L12" s="20">
        <f>[1]output_exemplo_neto!D11</f>
        <v>0</v>
      </c>
      <c r="M12" s="27" t="str">
        <f t="shared" si="3"/>
        <v>Erro</v>
      </c>
      <c r="N12" s="22">
        <f>AGUA!J13/1000</f>
        <v>0.1</v>
      </c>
      <c r="O12" s="23">
        <f>[1]output_exemplo_neto!E11</f>
        <v>0</v>
      </c>
      <c r="P12" s="28" t="str">
        <f t="shared" si="4"/>
        <v>Erro</v>
      </c>
      <c r="Q12" s="31">
        <f>AGUA!K13</f>
        <v>0</v>
      </c>
      <c r="R12" s="30">
        <f>[1]output_exemplo_neto!F11</f>
        <v>0</v>
      </c>
      <c r="S12" s="21" t="str">
        <f t="shared" si="5"/>
        <v>OK</v>
      </c>
      <c r="T12" s="31">
        <f>AGUA!L13</f>
        <v>0.8</v>
      </c>
      <c r="U12" s="30">
        <f>[1]output_exemplo_neto!G11</f>
        <v>0</v>
      </c>
      <c r="V12" s="29" t="str">
        <f t="shared" si="6"/>
        <v>Erro</v>
      </c>
      <c r="W12" s="15">
        <f>AGUA!M13</f>
        <v>0.45</v>
      </c>
      <c r="X12" s="23">
        <f>[1]output_exemplo_neto!H11</f>
        <v>0</v>
      </c>
      <c r="Y12" s="28" t="str">
        <f t="shared" si="7"/>
        <v>Erro</v>
      </c>
      <c r="Z12" s="15">
        <f>AGUA!N13</f>
        <v>113.5</v>
      </c>
      <c r="AA12" s="16">
        <f>[1]output_exemplo_neto!I11</f>
        <v>0</v>
      </c>
      <c r="AB12" s="17" t="str">
        <f t="shared" si="8"/>
        <v>Erro</v>
      </c>
      <c r="AC12" s="15">
        <f>AGUA!O13</f>
        <v>112.7</v>
      </c>
      <c r="AD12" s="16">
        <f>[1]output_exemplo_neto!J11</f>
        <v>0</v>
      </c>
      <c r="AE12" s="17" t="str">
        <f t="shared" si="9"/>
        <v>Erro</v>
      </c>
      <c r="AF12" s="15">
        <f>AGUA!P13</f>
        <v>1.5</v>
      </c>
      <c r="AG12" s="16">
        <f>AA12 -AGUA!C13</f>
        <v>-112</v>
      </c>
      <c r="AH12" s="27" t="str">
        <f t="shared" si="10"/>
        <v>Erro</v>
      </c>
      <c r="AI12" s="15">
        <f>AGUA!Q13</f>
        <v>15</v>
      </c>
      <c r="AJ12" s="16">
        <f>AD12-AGUA!D13</f>
        <v>-97.7</v>
      </c>
      <c r="AK12" s="26" t="str">
        <f t="shared" si="11"/>
        <v>Erro</v>
      </c>
      <c r="AL12" s="32"/>
      <c r="AM12" s="32"/>
    </row>
    <row r="13" spans="1:40" x14ac:dyDescent="0.25">
      <c r="AM13" s="32"/>
    </row>
  </sheetData>
  <conditionalFormatting sqref="M2">
    <cfRule type="cellIs" dxfId="31" priority="25" operator="equal">
      <formula>"Erro"</formula>
    </cfRule>
    <cfRule type="cellIs" dxfId="30" priority="26" operator="equal">
      <formula>"OK"</formula>
    </cfRule>
    <cfRule type="cellIs" dxfId="29" priority="27" operator="equal">
      <formula>"Erro"</formula>
    </cfRule>
    <cfRule type="cellIs" dxfId="28" priority="28" operator="equal">
      <formula>"OK"</formula>
    </cfRule>
    <cfRule type="cellIs" dxfId="27" priority="29" operator="equal">
      <formula>"Erro"</formula>
    </cfRule>
    <cfRule type="cellIs" dxfId="26" priority="30" operator="equal">
      <formula>"OK"</formula>
    </cfRule>
    <cfRule type="cellIs" dxfId="25" priority="31" operator="equal">
      <formula>"Erro"</formula>
    </cfRule>
    <cfRule type="cellIs" dxfId="24" priority="32" operator="equal">
      <formula>"OK"</formula>
    </cfRule>
  </conditionalFormatting>
  <conditionalFormatting sqref="M2:M12">
    <cfRule type="cellIs" dxfId="23" priority="23" operator="equal">
      <formula>"Erro"</formula>
    </cfRule>
    <cfRule type="cellIs" dxfId="22" priority="24" operator="equal">
      <formula>"OK"</formula>
    </cfRule>
  </conditionalFormatting>
  <conditionalFormatting sqref="D2:D12">
    <cfRule type="cellIs" dxfId="21" priority="21" operator="equal">
      <formula>"Erro"</formula>
    </cfRule>
    <cfRule type="cellIs" dxfId="20" priority="22" operator="equal">
      <formula>"OK"</formula>
    </cfRule>
  </conditionalFormatting>
  <conditionalFormatting sqref="G2:G12">
    <cfRule type="cellIs" dxfId="19" priority="19" operator="equal">
      <formula>"Erro"</formula>
    </cfRule>
    <cfRule type="cellIs" dxfId="18" priority="20" operator="equal">
      <formula>"OK"</formula>
    </cfRule>
  </conditionalFormatting>
  <conditionalFormatting sqref="J2:J12">
    <cfRule type="cellIs" dxfId="17" priority="17" operator="equal">
      <formula>"Erro"</formula>
    </cfRule>
    <cfRule type="cellIs" dxfId="16" priority="18" operator="equal">
      <formula>"ok"</formula>
    </cfRule>
  </conditionalFormatting>
  <conditionalFormatting sqref="P2:P12">
    <cfRule type="cellIs" dxfId="15" priority="15" operator="equal">
      <formula>"Erro"</formula>
    </cfRule>
    <cfRule type="cellIs" dxfId="14" priority="16" operator="equal">
      <formula>"OK"</formula>
    </cfRule>
  </conditionalFormatting>
  <conditionalFormatting sqref="S2:S12">
    <cfRule type="cellIs" dxfId="13" priority="13" operator="equal">
      <formula>"Erro"</formula>
    </cfRule>
    <cfRule type="cellIs" dxfId="12" priority="14" operator="equal">
      <formula>"OK"</formula>
    </cfRule>
  </conditionalFormatting>
  <conditionalFormatting sqref="V2:V12">
    <cfRule type="cellIs" dxfId="11" priority="11" operator="equal">
      <formula>"Erro"</formula>
    </cfRule>
    <cfRule type="cellIs" dxfId="10" priority="12" operator="equal">
      <formula>"OK"</formula>
    </cfRule>
  </conditionalFormatting>
  <conditionalFormatting sqref="Y2:Y12">
    <cfRule type="cellIs" dxfId="9" priority="9" operator="equal">
      <formula>"Erro"</formula>
    </cfRule>
    <cfRule type="cellIs" dxfId="8" priority="10" operator="equal">
      <formula>"OK"</formula>
    </cfRule>
  </conditionalFormatting>
  <conditionalFormatting sqref="AB2:AB12">
    <cfRule type="cellIs" dxfId="7" priority="7" operator="equal">
      <formula>"Erro"</formula>
    </cfRule>
    <cfRule type="cellIs" dxfId="6" priority="8" operator="equal">
      <formula>"OK"</formula>
    </cfRule>
  </conditionalFormatting>
  <conditionalFormatting sqref="AE2:AE12">
    <cfRule type="cellIs" dxfId="5" priority="5" operator="equal">
      <formula>"Erro"</formula>
    </cfRule>
    <cfRule type="cellIs" dxfId="4" priority="6" operator="equal">
      <formula>"OK"</formula>
    </cfRule>
  </conditionalFormatting>
  <conditionalFormatting sqref="AH2:AH12">
    <cfRule type="cellIs" dxfId="3" priority="3" operator="equal">
      <formula>"Erro"</formula>
    </cfRule>
    <cfRule type="cellIs" dxfId="2" priority="4" operator="equal">
      <formula>"OK"</formula>
    </cfRule>
  </conditionalFormatting>
  <conditionalFormatting sqref="AK2:AK12">
    <cfRule type="cellIs" dxfId="1" priority="1" operator="equal">
      <formula>"Erro"</formula>
    </cfRule>
    <cfRule type="cellIs" dxfId="0" priority="2" operator="equal">
      <formula>"OK"</formula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:B853"/>
  <sheetViews>
    <sheetView topLeftCell="A388" workbookViewId="0">
      <selection activeCell="E400" sqref="E400"/>
    </sheetView>
  </sheetViews>
  <sheetFormatPr defaultRowHeight="15" x14ac:dyDescent="0.25"/>
  <cols>
    <col min="1" max="1" width="15.85546875" bestFit="1" customWidth="1"/>
  </cols>
  <sheetData>
    <row r="1" spans="1:1" x14ac:dyDescent="0.25">
      <c r="A1" t="s">
        <v>17</v>
      </c>
    </row>
    <row r="2" spans="1:1" x14ac:dyDescent="0.25">
      <c r="A2" t="s">
        <v>18</v>
      </c>
    </row>
    <row r="3" spans="1:1" x14ac:dyDescent="0.25">
      <c r="A3" s="3">
        <v>42210.891180555554</v>
      </c>
    </row>
    <row r="4" spans="1:1" x14ac:dyDescent="0.25">
      <c r="A4" s="3" t="s">
        <v>17</v>
      </c>
    </row>
    <row r="5" spans="1:1" x14ac:dyDescent="0.25">
      <c r="A5" s="3" t="s">
        <v>18</v>
      </c>
    </row>
    <row r="6" spans="1:1" x14ac:dyDescent="0.25">
      <c r="A6" s="3">
        <v>42210.891215277778</v>
      </c>
    </row>
    <row r="7" spans="1:1" x14ac:dyDescent="0.25">
      <c r="A7" t="s">
        <v>17</v>
      </c>
    </row>
    <row r="8" spans="1:1" x14ac:dyDescent="0.25">
      <c r="A8" t="s">
        <v>18</v>
      </c>
    </row>
    <row r="9" spans="1:1" x14ac:dyDescent="0.25">
      <c r="A9" s="3">
        <v>42210.891782407409</v>
      </c>
    </row>
    <row r="10" spans="1:1" x14ac:dyDescent="0.25">
      <c r="A10" t="s">
        <v>17</v>
      </c>
    </row>
    <row r="11" spans="1:1" x14ac:dyDescent="0.25">
      <c r="A11" t="s">
        <v>18</v>
      </c>
    </row>
    <row r="12" spans="1:1" x14ac:dyDescent="0.25">
      <c r="A12" s="3">
        <v>42210.908020833333</v>
      </c>
    </row>
    <row r="13" spans="1:1" x14ac:dyDescent="0.25">
      <c r="A13" t="s">
        <v>17</v>
      </c>
    </row>
    <row r="14" spans="1:1" x14ac:dyDescent="0.25">
      <c r="A14" t="s">
        <v>18</v>
      </c>
    </row>
    <row r="15" spans="1:1" x14ac:dyDescent="0.25">
      <c r="A15" s="3">
        <v>42210.922939814816</v>
      </c>
    </row>
    <row r="16" spans="1:1" x14ac:dyDescent="0.25">
      <c r="A16" t="s">
        <v>17</v>
      </c>
    </row>
    <row r="17" spans="1:1" x14ac:dyDescent="0.25">
      <c r="A17" t="s">
        <v>18</v>
      </c>
    </row>
    <row r="18" spans="1:1" x14ac:dyDescent="0.25">
      <c r="A18" s="3">
        <v>42210.953402777777</v>
      </c>
    </row>
    <row r="19" spans="1:1" x14ac:dyDescent="0.25">
      <c r="A19" t="s">
        <v>17</v>
      </c>
    </row>
    <row r="20" spans="1:1" x14ac:dyDescent="0.25">
      <c r="A20" t="s">
        <v>18</v>
      </c>
    </row>
    <row r="21" spans="1:1" x14ac:dyDescent="0.25">
      <c r="A21" s="3">
        <v>42210.968506944446</v>
      </c>
    </row>
    <row r="22" spans="1:1" x14ac:dyDescent="0.25">
      <c r="A22" t="s">
        <v>17</v>
      </c>
    </row>
    <row r="23" spans="1:1" x14ac:dyDescent="0.25">
      <c r="A23" t="s">
        <v>18</v>
      </c>
    </row>
    <row r="24" spans="1:1" x14ac:dyDescent="0.25">
      <c r="A24" s="3">
        <v>42210.96875</v>
      </c>
    </row>
    <row r="25" spans="1:1" x14ac:dyDescent="0.25">
      <c r="A25" t="s">
        <v>17</v>
      </c>
    </row>
    <row r="26" spans="1:1" x14ac:dyDescent="0.25">
      <c r="A26" t="s">
        <v>18</v>
      </c>
    </row>
    <row r="27" spans="1:1" x14ac:dyDescent="0.25">
      <c r="A27" s="3">
        <v>42210.987986111111</v>
      </c>
    </row>
    <row r="28" spans="1:1" x14ac:dyDescent="0.25">
      <c r="A28" t="s">
        <v>17</v>
      </c>
    </row>
    <row r="29" spans="1:1" x14ac:dyDescent="0.25">
      <c r="A29" t="s">
        <v>18</v>
      </c>
    </row>
    <row r="30" spans="1:1" x14ac:dyDescent="0.25">
      <c r="A30" s="3">
        <v>42210.994085648148</v>
      </c>
    </row>
    <row r="31" spans="1:1" x14ac:dyDescent="0.25">
      <c r="A31" t="s">
        <v>17</v>
      </c>
    </row>
    <row r="32" spans="1:1" x14ac:dyDescent="0.25">
      <c r="A32" t="s">
        <v>18</v>
      </c>
    </row>
    <row r="33" spans="1:1" x14ac:dyDescent="0.25">
      <c r="A33" s="3">
        <v>42210.99596064815</v>
      </c>
    </row>
    <row r="34" spans="1:1" x14ac:dyDescent="0.25">
      <c r="A34" t="s">
        <v>17</v>
      </c>
    </row>
    <row r="35" spans="1:1" x14ac:dyDescent="0.25">
      <c r="A35" t="s">
        <v>18</v>
      </c>
    </row>
    <row r="36" spans="1:1" x14ac:dyDescent="0.25">
      <c r="A36" s="3">
        <v>42211.678344907406</v>
      </c>
    </row>
    <row r="37" spans="1:1" x14ac:dyDescent="0.25">
      <c r="A37" t="s">
        <v>17</v>
      </c>
    </row>
    <row r="38" spans="1:1" x14ac:dyDescent="0.25">
      <c r="A38" t="s">
        <v>18</v>
      </c>
    </row>
    <row r="39" spans="1:1" x14ac:dyDescent="0.25">
      <c r="A39" s="3">
        <v>42211.679606481484</v>
      </c>
    </row>
    <row r="40" spans="1:1" x14ac:dyDescent="0.25">
      <c r="A40" s="3" t="s">
        <v>17</v>
      </c>
    </row>
    <row r="41" spans="1:1" x14ac:dyDescent="0.25">
      <c r="A41" t="s">
        <v>18</v>
      </c>
    </row>
    <row r="42" spans="1:1" x14ac:dyDescent="0.25">
      <c r="A42" s="3">
        <v>42211.680127314816</v>
      </c>
    </row>
    <row r="43" spans="1:1" x14ac:dyDescent="0.25">
      <c r="A43" s="3" t="s">
        <v>17</v>
      </c>
    </row>
    <row r="44" spans="1:1" x14ac:dyDescent="0.25">
      <c r="A44" t="s">
        <v>18</v>
      </c>
    </row>
    <row r="45" spans="1:1" x14ac:dyDescent="0.25">
      <c r="A45" s="3">
        <v>42211.684074074074</v>
      </c>
    </row>
    <row r="46" spans="1:1" x14ac:dyDescent="0.25">
      <c r="A46" s="3" t="s">
        <v>17</v>
      </c>
    </row>
    <row r="47" spans="1:1" x14ac:dyDescent="0.25">
      <c r="A47" t="s">
        <v>18</v>
      </c>
    </row>
    <row r="48" spans="1:1" x14ac:dyDescent="0.25">
      <c r="A48" s="3">
        <v>42211.750324074077</v>
      </c>
    </row>
    <row r="49" spans="1:1" x14ac:dyDescent="0.25">
      <c r="A49" s="3" t="s">
        <v>17</v>
      </c>
    </row>
    <row r="50" spans="1:1" x14ac:dyDescent="0.25">
      <c r="A50" t="s">
        <v>18</v>
      </c>
    </row>
    <row r="51" spans="1:1" x14ac:dyDescent="0.25">
      <c r="A51" s="3">
        <v>42211.792766203704</v>
      </c>
    </row>
    <row r="52" spans="1:1" x14ac:dyDescent="0.25">
      <c r="A52" s="3" t="s">
        <v>19</v>
      </c>
    </row>
    <row r="53" spans="1:1" x14ac:dyDescent="0.25">
      <c r="A53" t="s">
        <v>20</v>
      </c>
    </row>
    <row r="54" spans="1:1" x14ac:dyDescent="0.25">
      <c r="A54" s="3">
        <v>42212.611944444441</v>
      </c>
    </row>
    <row r="55" spans="1:1" x14ac:dyDescent="0.25">
      <c r="A55" s="3" t="s">
        <v>19</v>
      </c>
    </row>
    <row r="56" spans="1:1" x14ac:dyDescent="0.25">
      <c r="A56" t="s">
        <v>20</v>
      </c>
    </row>
    <row r="57" spans="1:1" x14ac:dyDescent="0.25">
      <c r="A57" s="3">
        <v>42212.612696759257</v>
      </c>
    </row>
    <row r="58" spans="1:1" x14ac:dyDescent="0.25">
      <c r="A58" t="s">
        <v>19</v>
      </c>
    </row>
    <row r="59" spans="1:1" x14ac:dyDescent="0.25">
      <c r="A59" t="s">
        <v>20</v>
      </c>
    </row>
    <row r="60" spans="1:1" x14ac:dyDescent="0.25">
      <c r="A60" s="3">
        <v>42212.617824074077</v>
      </c>
    </row>
    <row r="61" spans="1:1" x14ac:dyDescent="0.25">
      <c r="A61" t="s">
        <v>19</v>
      </c>
    </row>
    <row r="62" spans="1:1" x14ac:dyDescent="0.25">
      <c r="A62" t="s">
        <v>20</v>
      </c>
    </row>
    <row r="63" spans="1:1" x14ac:dyDescent="0.25">
      <c r="A63" s="3">
        <v>42212.620706018519</v>
      </c>
    </row>
    <row r="64" spans="1:1" x14ac:dyDescent="0.25">
      <c r="A64" t="s">
        <v>19</v>
      </c>
    </row>
    <row r="65" spans="1:1" x14ac:dyDescent="0.25">
      <c r="A65" t="s">
        <v>20</v>
      </c>
    </row>
    <row r="66" spans="1:1" x14ac:dyDescent="0.25">
      <c r="A66" s="3">
        <v>42212.621747685182</v>
      </c>
    </row>
    <row r="67" spans="1:1" x14ac:dyDescent="0.25">
      <c r="A67" t="s">
        <v>19</v>
      </c>
    </row>
    <row r="68" spans="1:1" x14ac:dyDescent="0.25">
      <c r="A68" t="s">
        <v>20</v>
      </c>
    </row>
    <row r="69" spans="1:1" x14ac:dyDescent="0.25">
      <c r="A69" s="3">
        <v>42212.62703703704</v>
      </c>
    </row>
    <row r="70" spans="1:1" x14ac:dyDescent="0.25">
      <c r="A70" t="s">
        <v>19</v>
      </c>
    </row>
    <row r="71" spans="1:1" x14ac:dyDescent="0.25">
      <c r="A71" t="s">
        <v>19</v>
      </c>
    </row>
    <row r="72" spans="1:1" x14ac:dyDescent="0.25">
      <c r="A72" t="s">
        <v>19</v>
      </c>
    </row>
    <row r="73" spans="1:1" x14ac:dyDescent="0.25">
      <c r="A73" t="s">
        <v>20</v>
      </c>
    </row>
    <row r="74" spans="1:1" x14ac:dyDescent="0.25">
      <c r="A74" s="3">
        <v>42212.641215277778</v>
      </c>
    </row>
    <row r="75" spans="1:1" x14ac:dyDescent="0.25">
      <c r="A75" t="s">
        <v>19</v>
      </c>
    </row>
    <row r="76" spans="1:1" x14ac:dyDescent="0.25">
      <c r="A76" t="s">
        <v>20</v>
      </c>
    </row>
    <row r="77" spans="1:1" x14ac:dyDescent="0.25">
      <c r="A77" s="3">
        <v>42212.644074074073</v>
      </c>
    </row>
    <row r="78" spans="1:1" x14ac:dyDescent="0.25">
      <c r="A78" t="s">
        <v>19</v>
      </c>
    </row>
    <row r="79" spans="1:1" x14ac:dyDescent="0.25">
      <c r="A79" t="s">
        <v>20</v>
      </c>
    </row>
    <row r="80" spans="1:1" x14ac:dyDescent="0.25">
      <c r="A80" s="3">
        <v>42212.645416666666</v>
      </c>
    </row>
    <row r="81" spans="1:1" x14ac:dyDescent="0.25">
      <c r="A81" t="s">
        <v>17</v>
      </c>
    </row>
    <row r="82" spans="1:1" x14ac:dyDescent="0.25">
      <c r="A82" t="s">
        <v>17</v>
      </c>
    </row>
    <row r="83" spans="1:1" x14ac:dyDescent="0.25">
      <c r="A83" t="s">
        <v>17</v>
      </c>
    </row>
    <row r="84" spans="1:1" x14ac:dyDescent="0.25">
      <c r="A84" t="s">
        <v>18</v>
      </c>
    </row>
    <row r="85" spans="1:1" x14ac:dyDescent="0.25">
      <c r="A85" s="3">
        <v>42213.483703703707</v>
      </c>
    </row>
    <row r="86" spans="1:1" x14ac:dyDescent="0.25">
      <c r="A86" t="s">
        <v>17</v>
      </c>
    </row>
    <row r="87" spans="1:1" x14ac:dyDescent="0.25">
      <c r="A87" t="s">
        <v>18</v>
      </c>
    </row>
    <row r="88" spans="1:1" x14ac:dyDescent="0.25">
      <c r="A88" s="3">
        <v>42213.494444444441</v>
      </c>
    </row>
    <row r="89" spans="1:1" x14ac:dyDescent="0.25">
      <c r="A89" t="s">
        <v>17</v>
      </c>
    </row>
    <row r="90" spans="1:1" x14ac:dyDescent="0.25">
      <c r="A90" t="s">
        <v>18</v>
      </c>
    </row>
    <row r="91" spans="1:1" x14ac:dyDescent="0.25">
      <c r="A91" s="3">
        <v>42213.495219907411</v>
      </c>
    </row>
    <row r="92" spans="1:1" x14ac:dyDescent="0.25">
      <c r="A92" t="s">
        <v>17</v>
      </c>
    </row>
    <row r="93" spans="1:1" x14ac:dyDescent="0.25">
      <c r="A93" t="s">
        <v>18</v>
      </c>
    </row>
    <row r="94" spans="1:1" x14ac:dyDescent="0.25">
      <c r="A94" s="3">
        <v>42213.496145833335</v>
      </c>
    </row>
    <row r="95" spans="1:1" x14ac:dyDescent="0.25">
      <c r="A95" t="s">
        <v>17</v>
      </c>
    </row>
    <row r="96" spans="1:1" x14ac:dyDescent="0.25">
      <c r="A96" t="s">
        <v>18</v>
      </c>
    </row>
    <row r="97" spans="1:1" x14ac:dyDescent="0.25">
      <c r="A97" s="3">
        <v>42213.576666666668</v>
      </c>
    </row>
    <row r="98" spans="1:1" x14ac:dyDescent="0.25">
      <c r="A98" t="s">
        <v>17</v>
      </c>
    </row>
    <row r="99" spans="1:1" x14ac:dyDescent="0.25">
      <c r="A99" t="s">
        <v>18</v>
      </c>
    </row>
    <row r="100" spans="1:1" x14ac:dyDescent="0.25">
      <c r="A100" s="3">
        <v>42213.580254629633</v>
      </c>
    </row>
    <row r="101" spans="1:1" x14ac:dyDescent="0.25">
      <c r="A101" t="s">
        <v>17</v>
      </c>
    </row>
    <row r="102" spans="1:1" x14ac:dyDescent="0.25">
      <c r="A102" t="s">
        <v>18</v>
      </c>
    </row>
    <row r="103" spans="1:1" x14ac:dyDescent="0.25">
      <c r="A103" s="3">
        <v>42213.582129629627</v>
      </c>
    </row>
    <row r="104" spans="1:1" x14ac:dyDescent="0.25">
      <c r="A104" t="s">
        <v>17</v>
      </c>
    </row>
    <row r="105" spans="1:1" x14ac:dyDescent="0.25">
      <c r="A105" t="s">
        <v>18</v>
      </c>
    </row>
    <row r="106" spans="1:1" x14ac:dyDescent="0.25">
      <c r="A106" s="3">
        <v>42213.585532407407</v>
      </c>
    </row>
    <row r="107" spans="1:1" x14ac:dyDescent="0.25">
      <c r="A107" t="s">
        <v>17</v>
      </c>
    </row>
    <row r="108" spans="1:1" x14ac:dyDescent="0.25">
      <c r="A108" t="s">
        <v>17</v>
      </c>
    </row>
    <row r="109" spans="1:1" x14ac:dyDescent="0.25">
      <c r="A109" t="s">
        <v>18</v>
      </c>
    </row>
    <row r="110" spans="1:1" x14ac:dyDescent="0.25">
      <c r="A110" s="3">
        <v>42213.590810185182</v>
      </c>
    </row>
    <row r="111" spans="1:1" x14ac:dyDescent="0.25">
      <c r="A111" t="s">
        <v>17</v>
      </c>
    </row>
    <row r="112" spans="1:1" x14ac:dyDescent="0.25">
      <c r="A112" t="s">
        <v>18</v>
      </c>
    </row>
    <row r="113" spans="1:1" x14ac:dyDescent="0.25">
      <c r="A113" s="3">
        <v>42213.590833333335</v>
      </c>
    </row>
    <row r="114" spans="1:1" x14ac:dyDescent="0.25">
      <c r="A114" t="s">
        <v>17</v>
      </c>
    </row>
    <row r="115" spans="1:1" x14ac:dyDescent="0.25">
      <c r="A115" t="s">
        <v>18</v>
      </c>
    </row>
    <row r="116" spans="1:1" x14ac:dyDescent="0.25">
      <c r="A116" s="3">
        <v>42213.597928240742</v>
      </c>
    </row>
    <row r="117" spans="1:1" x14ac:dyDescent="0.25">
      <c r="A117" t="s">
        <v>17</v>
      </c>
    </row>
    <row r="118" spans="1:1" x14ac:dyDescent="0.25">
      <c r="A118" t="s">
        <v>18</v>
      </c>
    </row>
    <row r="119" spans="1:1" x14ac:dyDescent="0.25">
      <c r="A119" s="3">
        <v>42213.601307870369</v>
      </c>
    </row>
    <row r="120" spans="1:1" x14ac:dyDescent="0.25">
      <c r="A120" t="s">
        <v>17</v>
      </c>
    </row>
    <row r="121" spans="1:1" x14ac:dyDescent="0.25">
      <c r="A121" t="s">
        <v>18</v>
      </c>
    </row>
    <row r="122" spans="1:1" x14ac:dyDescent="0.25">
      <c r="A122" s="3">
        <v>42213.620185185187</v>
      </c>
    </row>
    <row r="123" spans="1:1" x14ac:dyDescent="0.25">
      <c r="A123" t="s">
        <v>17</v>
      </c>
    </row>
    <row r="124" spans="1:1" x14ac:dyDescent="0.25">
      <c r="A124" t="s">
        <v>18</v>
      </c>
    </row>
    <row r="125" spans="1:1" x14ac:dyDescent="0.25">
      <c r="A125" s="3">
        <v>42213.620868055557</v>
      </c>
    </row>
    <row r="126" spans="1:1" x14ac:dyDescent="0.25">
      <c r="A126" t="s">
        <v>17</v>
      </c>
    </row>
    <row r="127" spans="1:1" x14ac:dyDescent="0.25">
      <c r="A127" t="s">
        <v>18</v>
      </c>
    </row>
    <row r="128" spans="1:1" x14ac:dyDescent="0.25">
      <c r="A128" s="3">
        <v>42213.622291666667</v>
      </c>
    </row>
    <row r="129" spans="1:1" x14ac:dyDescent="0.25">
      <c r="A129" t="s">
        <v>17</v>
      </c>
    </row>
    <row r="130" spans="1:1" x14ac:dyDescent="0.25">
      <c r="A130" t="s">
        <v>18</v>
      </c>
    </row>
    <row r="131" spans="1:1" x14ac:dyDescent="0.25">
      <c r="A131" s="3">
        <v>42213.626354166663</v>
      </c>
    </row>
    <row r="132" spans="1:1" x14ac:dyDescent="0.25">
      <c r="A132" t="s">
        <v>17</v>
      </c>
    </row>
    <row r="133" spans="1:1" x14ac:dyDescent="0.25">
      <c r="A133" t="s">
        <v>18</v>
      </c>
    </row>
    <row r="134" spans="1:1" x14ac:dyDescent="0.25">
      <c r="A134" s="3">
        <v>42213.629652777781</v>
      </c>
    </row>
    <row r="135" spans="1:1" x14ac:dyDescent="0.25">
      <c r="A135" t="s">
        <v>17</v>
      </c>
    </row>
    <row r="136" spans="1:1" x14ac:dyDescent="0.25">
      <c r="A136" t="s">
        <v>17</v>
      </c>
    </row>
    <row r="137" spans="1:1" x14ac:dyDescent="0.25">
      <c r="A137" t="s">
        <v>18</v>
      </c>
    </row>
    <row r="138" spans="1:1" x14ac:dyDescent="0.25">
      <c r="A138" s="3">
        <v>42213.631319444445</v>
      </c>
    </row>
    <row r="139" spans="1:1" x14ac:dyDescent="0.25">
      <c r="A139" t="s">
        <v>17</v>
      </c>
    </row>
    <row r="140" spans="1:1" x14ac:dyDescent="0.25">
      <c r="A140" t="s">
        <v>18</v>
      </c>
    </row>
    <row r="141" spans="1:1" x14ac:dyDescent="0.25">
      <c r="A141" s="3">
        <v>42213.63177083333</v>
      </c>
    </row>
    <row r="142" spans="1:1" x14ac:dyDescent="0.25">
      <c r="A142" t="s">
        <v>17</v>
      </c>
    </row>
    <row r="143" spans="1:1" x14ac:dyDescent="0.25">
      <c r="A143" t="s">
        <v>18</v>
      </c>
    </row>
    <row r="144" spans="1:1" x14ac:dyDescent="0.25">
      <c r="A144" s="3">
        <v>42213.632951388892</v>
      </c>
    </row>
    <row r="145" spans="1:1" x14ac:dyDescent="0.25">
      <c r="A145" t="s">
        <v>17</v>
      </c>
    </row>
    <row r="146" spans="1:1" x14ac:dyDescent="0.25">
      <c r="A146" t="s">
        <v>18</v>
      </c>
    </row>
    <row r="147" spans="1:1" x14ac:dyDescent="0.25">
      <c r="A147" s="3">
        <v>42213.632986111108</v>
      </c>
    </row>
    <row r="148" spans="1:1" x14ac:dyDescent="0.25">
      <c r="A148" t="s">
        <v>17</v>
      </c>
    </row>
    <row r="149" spans="1:1" x14ac:dyDescent="0.25">
      <c r="A149" t="s">
        <v>18</v>
      </c>
    </row>
    <row r="150" spans="1:1" x14ac:dyDescent="0.25">
      <c r="A150" s="3">
        <v>42213.634583333333</v>
      </c>
    </row>
    <row r="151" spans="1:1" x14ac:dyDescent="0.25">
      <c r="A151" t="s">
        <v>17</v>
      </c>
    </row>
    <row r="152" spans="1:1" x14ac:dyDescent="0.25">
      <c r="A152" t="s">
        <v>18</v>
      </c>
    </row>
    <row r="153" spans="1:1" x14ac:dyDescent="0.25">
      <c r="A153" s="3">
        <v>42213.634826388887</v>
      </c>
    </row>
    <row r="154" spans="1:1" x14ac:dyDescent="0.25">
      <c r="A154" t="s">
        <v>17</v>
      </c>
    </row>
    <row r="155" spans="1:1" x14ac:dyDescent="0.25">
      <c r="A155" t="s">
        <v>18</v>
      </c>
    </row>
    <row r="156" spans="1:1" x14ac:dyDescent="0.25">
      <c r="A156" s="3">
        <v>42213.635104166664</v>
      </c>
    </row>
    <row r="157" spans="1:1" x14ac:dyDescent="0.25">
      <c r="A157" t="s">
        <v>17</v>
      </c>
    </row>
    <row r="158" spans="1:1" x14ac:dyDescent="0.25">
      <c r="A158" t="s">
        <v>18</v>
      </c>
    </row>
    <row r="159" spans="1:1" x14ac:dyDescent="0.25">
      <c r="A159" s="3">
        <v>42213.635995370372</v>
      </c>
    </row>
    <row r="160" spans="1:1" x14ac:dyDescent="0.25">
      <c r="A160" t="s">
        <v>17</v>
      </c>
    </row>
    <row r="161" spans="1:1" x14ac:dyDescent="0.25">
      <c r="A161" t="s">
        <v>18</v>
      </c>
    </row>
    <row r="162" spans="1:1" x14ac:dyDescent="0.25">
      <c r="A162" s="3">
        <v>42213.636805555558</v>
      </c>
    </row>
    <row r="163" spans="1:1" x14ac:dyDescent="0.25">
      <c r="A163" t="s">
        <v>17</v>
      </c>
    </row>
    <row r="164" spans="1:1" x14ac:dyDescent="0.25">
      <c r="A164" t="s">
        <v>18</v>
      </c>
    </row>
    <row r="165" spans="1:1" x14ac:dyDescent="0.25">
      <c r="A165" s="3">
        <v>42213.637743055559</v>
      </c>
    </row>
    <row r="166" spans="1:1" x14ac:dyDescent="0.25">
      <c r="A166" t="s">
        <v>17</v>
      </c>
    </row>
    <row r="167" spans="1:1" x14ac:dyDescent="0.25">
      <c r="A167" t="s">
        <v>18</v>
      </c>
    </row>
    <row r="168" spans="1:1" x14ac:dyDescent="0.25">
      <c r="A168" s="3">
        <v>42213.64130787037</v>
      </c>
    </row>
    <row r="169" spans="1:1" x14ac:dyDescent="0.25">
      <c r="A169" t="s">
        <v>17</v>
      </c>
    </row>
    <row r="170" spans="1:1" x14ac:dyDescent="0.25">
      <c r="A170" t="s">
        <v>18</v>
      </c>
    </row>
    <row r="171" spans="1:1" x14ac:dyDescent="0.25">
      <c r="A171" s="3">
        <v>42213.642731481479</v>
      </c>
    </row>
    <row r="172" spans="1:1" x14ac:dyDescent="0.25">
      <c r="A172" t="s">
        <v>17</v>
      </c>
    </row>
    <row r="173" spans="1:1" x14ac:dyDescent="0.25">
      <c r="A173" t="s">
        <v>18</v>
      </c>
    </row>
    <row r="174" spans="1:1" x14ac:dyDescent="0.25">
      <c r="A174" s="3">
        <v>42213.644212962965</v>
      </c>
    </row>
    <row r="175" spans="1:1" x14ac:dyDescent="0.25">
      <c r="A175" t="s">
        <v>17</v>
      </c>
    </row>
    <row r="176" spans="1:1" x14ac:dyDescent="0.25">
      <c r="A176" t="s">
        <v>18</v>
      </c>
    </row>
    <row r="177" spans="1:1" x14ac:dyDescent="0.25">
      <c r="A177" s="3">
        <v>42213.644861111112</v>
      </c>
    </row>
    <row r="178" spans="1:1" x14ac:dyDescent="0.25">
      <c r="A178" t="s">
        <v>17</v>
      </c>
    </row>
    <row r="179" spans="1:1" x14ac:dyDescent="0.25">
      <c r="A179" t="s">
        <v>18</v>
      </c>
    </row>
    <row r="180" spans="1:1" x14ac:dyDescent="0.25">
      <c r="A180" s="3">
        <v>42214.475925925923</v>
      </c>
    </row>
    <row r="181" spans="1:1" x14ac:dyDescent="0.25">
      <c r="A181" t="s">
        <v>17</v>
      </c>
    </row>
    <row r="182" spans="1:1" x14ac:dyDescent="0.25">
      <c r="A182" t="s">
        <v>18</v>
      </c>
    </row>
    <row r="183" spans="1:1" x14ac:dyDescent="0.25">
      <c r="A183" s="3">
        <v>42214.476875</v>
      </c>
    </row>
    <row r="184" spans="1:1" x14ac:dyDescent="0.25">
      <c r="A184" t="s">
        <v>17</v>
      </c>
    </row>
    <row r="185" spans="1:1" x14ac:dyDescent="0.25">
      <c r="A185" t="s">
        <v>18</v>
      </c>
    </row>
    <row r="186" spans="1:1" x14ac:dyDescent="0.25">
      <c r="A186" s="3">
        <v>42214.485983796294</v>
      </c>
    </row>
    <row r="187" spans="1:1" x14ac:dyDescent="0.25">
      <c r="A187" t="s">
        <v>17</v>
      </c>
    </row>
    <row r="188" spans="1:1" x14ac:dyDescent="0.25">
      <c r="A188" t="s">
        <v>18</v>
      </c>
    </row>
    <row r="189" spans="1:1" x14ac:dyDescent="0.25">
      <c r="A189" s="3">
        <v>42214.499131944445</v>
      </c>
    </row>
    <row r="190" spans="1:1" x14ac:dyDescent="0.25">
      <c r="A190" t="s">
        <v>17</v>
      </c>
    </row>
    <row r="191" spans="1:1" x14ac:dyDescent="0.25">
      <c r="A191" t="s">
        <v>18</v>
      </c>
    </row>
    <row r="192" spans="1:1" x14ac:dyDescent="0.25">
      <c r="A192" s="3">
        <v>42214.499143518522</v>
      </c>
    </row>
    <row r="193" spans="1:1" x14ac:dyDescent="0.25">
      <c r="A193" t="s">
        <v>17</v>
      </c>
    </row>
    <row r="194" spans="1:1" x14ac:dyDescent="0.25">
      <c r="A194" t="s">
        <v>18</v>
      </c>
    </row>
    <row r="195" spans="1:1" x14ac:dyDescent="0.25">
      <c r="A195" s="3">
        <v>42214.499178240738</v>
      </c>
    </row>
    <row r="196" spans="1:1" x14ac:dyDescent="0.25">
      <c r="A196" t="s">
        <v>17</v>
      </c>
    </row>
    <row r="197" spans="1:1" x14ac:dyDescent="0.25">
      <c r="A197" t="s">
        <v>18</v>
      </c>
    </row>
    <row r="198" spans="1:1" x14ac:dyDescent="0.25">
      <c r="A198" s="3">
        <v>42214.499490740738</v>
      </c>
    </row>
    <row r="199" spans="1:1" x14ac:dyDescent="0.25">
      <c r="A199" t="s">
        <v>17</v>
      </c>
    </row>
    <row r="200" spans="1:1" x14ac:dyDescent="0.25">
      <c r="A200" t="s">
        <v>18</v>
      </c>
    </row>
    <row r="201" spans="1:1" x14ac:dyDescent="0.25">
      <c r="A201" s="3">
        <v>42214.503333333334</v>
      </c>
    </row>
    <row r="202" spans="1:1" x14ac:dyDescent="0.25">
      <c r="A202" t="s">
        <v>17</v>
      </c>
    </row>
    <row r="203" spans="1:1" x14ac:dyDescent="0.25">
      <c r="A203" t="s">
        <v>17</v>
      </c>
    </row>
    <row r="204" spans="1:1" x14ac:dyDescent="0.25">
      <c r="A204" t="s">
        <v>18</v>
      </c>
    </row>
    <row r="205" spans="1:1" x14ac:dyDescent="0.25">
      <c r="A205" s="3">
        <v>42214.510231481479</v>
      </c>
    </row>
    <row r="206" spans="1:1" x14ac:dyDescent="0.25">
      <c r="A206" t="s">
        <v>17</v>
      </c>
    </row>
    <row r="207" spans="1:1" x14ac:dyDescent="0.25">
      <c r="A207" t="s">
        <v>18</v>
      </c>
    </row>
    <row r="208" spans="1:1" x14ac:dyDescent="0.25">
      <c r="A208" s="3">
        <v>42214.519513888888</v>
      </c>
    </row>
    <row r="209" spans="1:1" x14ac:dyDescent="0.25">
      <c r="A209" t="s">
        <v>17</v>
      </c>
    </row>
    <row r="210" spans="1:1" x14ac:dyDescent="0.25">
      <c r="A210" t="s">
        <v>18</v>
      </c>
    </row>
    <row r="211" spans="1:1" x14ac:dyDescent="0.25">
      <c r="A211" s="3">
        <v>42214.520138888889</v>
      </c>
    </row>
    <row r="212" spans="1:1" x14ac:dyDescent="0.25">
      <c r="A212" t="s">
        <v>17</v>
      </c>
    </row>
    <row r="213" spans="1:1" x14ac:dyDescent="0.25">
      <c r="A213" t="s">
        <v>18</v>
      </c>
    </row>
    <row r="214" spans="1:1" x14ac:dyDescent="0.25">
      <c r="A214" s="3">
        <v>42214.625138888892</v>
      </c>
    </row>
    <row r="215" spans="1:1" x14ac:dyDescent="0.25">
      <c r="A215" t="s">
        <v>17</v>
      </c>
    </row>
    <row r="216" spans="1:1" x14ac:dyDescent="0.25">
      <c r="A216" t="s">
        <v>18</v>
      </c>
    </row>
    <row r="217" spans="1:1" x14ac:dyDescent="0.25">
      <c r="A217" s="3">
        <v>42214.625520833331</v>
      </c>
    </row>
    <row r="218" spans="1:1" x14ac:dyDescent="0.25">
      <c r="A218" t="s">
        <v>17</v>
      </c>
    </row>
    <row r="219" spans="1:1" x14ac:dyDescent="0.25">
      <c r="A219" t="s">
        <v>18</v>
      </c>
    </row>
    <row r="220" spans="1:1" x14ac:dyDescent="0.25">
      <c r="A220" s="3">
        <v>42214.626608796294</v>
      </c>
    </row>
    <row r="221" spans="1:1" x14ac:dyDescent="0.25">
      <c r="A221" t="s">
        <v>17</v>
      </c>
    </row>
    <row r="222" spans="1:1" x14ac:dyDescent="0.25">
      <c r="A222" t="s">
        <v>18</v>
      </c>
    </row>
    <row r="223" spans="1:1" x14ac:dyDescent="0.25">
      <c r="A223" s="3">
        <v>42214.627222222225</v>
      </c>
    </row>
    <row r="224" spans="1:1" x14ac:dyDescent="0.25">
      <c r="A224" t="s">
        <v>17</v>
      </c>
    </row>
    <row r="225" spans="1:1" x14ac:dyDescent="0.25">
      <c r="A225" t="s">
        <v>18</v>
      </c>
    </row>
    <row r="226" spans="1:1" x14ac:dyDescent="0.25">
      <c r="A226" s="3">
        <v>42214.631574074076</v>
      </c>
    </row>
    <row r="227" spans="1:1" x14ac:dyDescent="0.25">
      <c r="A227" t="s">
        <v>17</v>
      </c>
    </row>
    <row r="228" spans="1:1" x14ac:dyDescent="0.25">
      <c r="A228" t="s">
        <v>18</v>
      </c>
    </row>
    <row r="229" spans="1:1" x14ac:dyDescent="0.25">
      <c r="A229" s="3">
        <v>42214.632060185184</v>
      </c>
    </row>
    <row r="230" spans="1:1" x14ac:dyDescent="0.25">
      <c r="A230" t="s">
        <v>17</v>
      </c>
    </row>
    <row r="231" spans="1:1" x14ac:dyDescent="0.25">
      <c r="A231" t="s">
        <v>18</v>
      </c>
    </row>
    <row r="232" spans="1:1" x14ac:dyDescent="0.25">
      <c r="A232" s="3">
        <v>42214.639803240738</v>
      </c>
    </row>
    <row r="233" spans="1:1" x14ac:dyDescent="0.25">
      <c r="A233" t="s">
        <v>17</v>
      </c>
    </row>
    <row r="234" spans="1:1" x14ac:dyDescent="0.25">
      <c r="A234" t="s">
        <v>18</v>
      </c>
    </row>
    <row r="235" spans="1:1" x14ac:dyDescent="0.25">
      <c r="A235" s="3">
        <v>42214.64025462963</v>
      </c>
    </row>
    <row r="236" spans="1:1" x14ac:dyDescent="0.25">
      <c r="A236" t="s">
        <v>17</v>
      </c>
    </row>
    <row r="237" spans="1:1" x14ac:dyDescent="0.25">
      <c r="A237" t="s">
        <v>18</v>
      </c>
    </row>
    <row r="238" spans="1:1" x14ac:dyDescent="0.25">
      <c r="A238" s="3">
        <v>42214.644502314812</v>
      </c>
    </row>
    <row r="239" spans="1:1" x14ac:dyDescent="0.25">
      <c r="A239" t="s">
        <v>17</v>
      </c>
    </row>
    <row r="240" spans="1:1" x14ac:dyDescent="0.25">
      <c r="A240" t="s">
        <v>18</v>
      </c>
    </row>
    <row r="241" spans="1:1" x14ac:dyDescent="0.25">
      <c r="A241" s="3">
        <v>42214.674189814818</v>
      </c>
    </row>
    <row r="242" spans="1:1" x14ac:dyDescent="0.25">
      <c r="A242" t="s">
        <v>17</v>
      </c>
    </row>
    <row r="243" spans="1:1" x14ac:dyDescent="0.25">
      <c r="A243" t="s">
        <v>18</v>
      </c>
    </row>
    <row r="244" spans="1:1" x14ac:dyDescent="0.25">
      <c r="A244" s="3">
        <v>42214.759155092594</v>
      </c>
    </row>
    <row r="245" spans="1:1" x14ac:dyDescent="0.25">
      <c r="A245" t="s">
        <v>17</v>
      </c>
    </row>
    <row r="246" spans="1:1" x14ac:dyDescent="0.25">
      <c r="A246" t="s">
        <v>18</v>
      </c>
    </row>
    <row r="247" spans="1:1" x14ac:dyDescent="0.25">
      <c r="A247" s="3">
        <v>42215.460625</v>
      </c>
    </row>
    <row r="248" spans="1:1" x14ac:dyDescent="0.25">
      <c r="A248" t="s">
        <v>17</v>
      </c>
    </row>
    <row r="249" spans="1:1" x14ac:dyDescent="0.25">
      <c r="A249" t="s">
        <v>18</v>
      </c>
    </row>
    <row r="250" spans="1:1" x14ac:dyDescent="0.25">
      <c r="A250" s="3">
        <v>42215.476076388892</v>
      </c>
    </row>
    <row r="251" spans="1:1" x14ac:dyDescent="0.25">
      <c r="A251" t="s">
        <v>17</v>
      </c>
    </row>
    <row r="252" spans="1:1" x14ac:dyDescent="0.25">
      <c r="A252" t="s">
        <v>18</v>
      </c>
    </row>
    <row r="253" spans="1:1" x14ac:dyDescent="0.25">
      <c r="A253" s="3">
        <v>42215.478460648148</v>
      </c>
    </row>
    <row r="254" spans="1:1" x14ac:dyDescent="0.25">
      <c r="A254" t="s">
        <v>17</v>
      </c>
    </row>
    <row r="255" spans="1:1" x14ac:dyDescent="0.25">
      <c r="A255" t="s">
        <v>18</v>
      </c>
    </row>
    <row r="256" spans="1:1" x14ac:dyDescent="0.25">
      <c r="A256" s="3">
        <v>42215.479988425926</v>
      </c>
    </row>
    <row r="257" spans="1:1" x14ac:dyDescent="0.25">
      <c r="A257" t="s">
        <v>17</v>
      </c>
    </row>
    <row r="258" spans="1:1" x14ac:dyDescent="0.25">
      <c r="A258" t="s">
        <v>18</v>
      </c>
    </row>
    <row r="259" spans="1:1" x14ac:dyDescent="0.25">
      <c r="A259" s="3">
        <v>42215.481273148151</v>
      </c>
    </row>
    <row r="260" spans="1:1" x14ac:dyDescent="0.25">
      <c r="A260" t="s">
        <v>17</v>
      </c>
    </row>
    <row r="261" spans="1:1" x14ac:dyDescent="0.25">
      <c r="A261" t="s">
        <v>18</v>
      </c>
    </row>
    <row r="262" spans="1:1" x14ac:dyDescent="0.25">
      <c r="A262" s="3">
        <v>42215.484664351854</v>
      </c>
    </row>
    <row r="263" spans="1:1" x14ac:dyDescent="0.25">
      <c r="A263" t="s">
        <v>17</v>
      </c>
    </row>
    <row r="264" spans="1:1" x14ac:dyDescent="0.25">
      <c r="A264" t="s">
        <v>18</v>
      </c>
    </row>
    <row r="265" spans="1:1" x14ac:dyDescent="0.25">
      <c r="A265" s="3">
        <v>42215.487685185188</v>
      </c>
    </row>
    <row r="266" spans="1:1" x14ac:dyDescent="0.25">
      <c r="A266" t="s">
        <v>17</v>
      </c>
    </row>
    <row r="267" spans="1:1" x14ac:dyDescent="0.25">
      <c r="A267" t="s">
        <v>18</v>
      </c>
    </row>
    <row r="268" spans="1:1" x14ac:dyDescent="0.25">
      <c r="A268" s="3">
        <v>42215.495104166665</v>
      </c>
    </row>
    <row r="269" spans="1:1" x14ac:dyDescent="0.25">
      <c r="A269" t="s">
        <v>17</v>
      </c>
    </row>
    <row r="270" spans="1:1" x14ac:dyDescent="0.25">
      <c r="A270" t="s">
        <v>18</v>
      </c>
    </row>
    <row r="271" spans="1:1" x14ac:dyDescent="0.25">
      <c r="A271" s="3">
        <v>42215.497499999998</v>
      </c>
    </row>
    <row r="272" spans="1:1" x14ac:dyDescent="0.25">
      <c r="A272" t="s">
        <v>17</v>
      </c>
    </row>
    <row r="273" spans="1:1" x14ac:dyDescent="0.25">
      <c r="A273" t="s">
        <v>18</v>
      </c>
    </row>
    <row r="274" spans="1:1" x14ac:dyDescent="0.25">
      <c r="A274" s="3">
        <v>42215.49795138889</v>
      </c>
    </row>
    <row r="275" spans="1:1" x14ac:dyDescent="0.25">
      <c r="A275" t="s">
        <v>17</v>
      </c>
    </row>
    <row r="276" spans="1:1" x14ac:dyDescent="0.25">
      <c r="A276" t="s">
        <v>18</v>
      </c>
    </row>
    <row r="277" spans="1:1" x14ac:dyDescent="0.25">
      <c r="A277" s="3">
        <v>42215.499201388891</v>
      </c>
    </row>
    <row r="278" spans="1:1" x14ac:dyDescent="0.25">
      <c r="A278" t="s">
        <v>17</v>
      </c>
    </row>
    <row r="279" spans="1:1" x14ac:dyDescent="0.25">
      <c r="A279" t="s">
        <v>18</v>
      </c>
    </row>
    <row r="280" spans="1:1" x14ac:dyDescent="0.25">
      <c r="A280" s="3">
        <v>42215.499606481484</v>
      </c>
    </row>
    <row r="281" spans="1:1" x14ac:dyDescent="0.25">
      <c r="A281" t="s">
        <v>17</v>
      </c>
    </row>
    <row r="282" spans="1:1" x14ac:dyDescent="0.25">
      <c r="A282" t="s">
        <v>18</v>
      </c>
    </row>
    <row r="283" spans="1:1" x14ac:dyDescent="0.25">
      <c r="A283" s="3">
        <v>42215.499976851854</v>
      </c>
    </row>
    <row r="284" spans="1:1" x14ac:dyDescent="0.25">
      <c r="A284" t="s">
        <v>17</v>
      </c>
    </row>
    <row r="285" spans="1:1" x14ac:dyDescent="0.25">
      <c r="A285" t="s">
        <v>18</v>
      </c>
    </row>
    <row r="286" spans="1:1" x14ac:dyDescent="0.25">
      <c r="A286" s="3">
        <v>42215.506793981483</v>
      </c>
    </row>
    <row r="287" spans="1:1" x14ac:dyDescent="0.25">
      <c r="A287" t="s">
        <v>17</v>
      </c>
    </row>
    <row r="288" spans="1:1" x14ac:dyDescent="0.25">
      <c r="A288" t="s">
        <v>18</v>
      </c>
    </row>
    <row r="289" spans="1:1" x14ac:dyDescent="0.25">
      <c r="A289" s="3">
        <v>42215.508715277778</v>
      </c>
    </row>
    <row r="290" spans="1:1" x14ac:dyDescent="0.25">
      <c r="A290" t="s">
        <v>17</v>
      </c>
    </row>
    <row r="291" spans="1:1" x14ac:dyDescent="0.25">
      <c r="A291" t="s">
        <v>18</v>
      </c>
    </row>
    <row r="292" spans="1:1" x14ac:dyDescent="0.25">
      <c r="A292" s="3">
        <v>42215.509895833333</v>
      </c>
    </row>
    <row r="293" spans="1:1" x14ac:dyDescent="0.25">
      <c r="A293" t="s">
        <v>17</v>
      </c>
    </row>
    <row r="294" spans="1:1" x14ac:dyDescent="0.25">
      <c r="A294" t="s">
        <v>18</v>
      </c>
    </row>
    <row r="295" spans="1:1" x14ac:dyDescent="0.25">
      <c r="A295" s="3">
        <v>42215.607800925929</v>
      </c>
    </row>
    <row r="296" spans="1:1" x14ac:dyDescent="0.25">
      <c r="A296" t="s">
        <v>17</v>
      </c>
    </row>
    <row r="297" spans="1:1" x14ac:dyDescent="0.25">
      <c r="A297" t="s">
        <v>18</v>
      </c>
    </row>
    <row r="298" spans="1:1" x14ac:dyDescent="0.25">
      <c r="A298" s="3">
        <v>42215.647881944446</v>
      </c>
    </row>
    <row r="299" spans="1:1" x14ac:dyDescent="0.25">
      <c r="A299" t="s">
        <v>17</v>
      </c>
    </row>
    <row r="300" spans="1:1" x14ac:dyDescent="0.25">
      <c r="A300" t="s">
        <v>18</v>
      </c>
    </row>
    <row r="301" spans="1:1" x14ac:dyDescent="0.25">
      <c r="A301" s="3">
        <v>42216.512777777774</v>
      </c>
    </row>
    <row r="302" spans="1:1" x14ac:dyDescent="0.25">
      <c r="A302" t="s">
        <v>17</v>
      </c>
    </row>
    <row r="303" spans="1:1" x14ac:dyDescent="0.25">
      <c r="A303" t="s">
        <v>18</v>
      </c>
    </row>
    <row r="304" spans="1:1" x14ac:dyDescent="0.25">
      <c r="A304" s="3">
        <v>42217.650324074071</v>
      </c>
    </row>
    <row r="305" spans="1:1" x14ac:dyDescent="0.25">
      <c r="A305" t="s">
        <v>17</v>
      </c>
    </row>
    <row r="306" spans="1:1" x14ac:dyDescent="0.25">
      <c r="A306" t="s">
        <v>18</v>
      </c>
    </row>
    <row r="307" spans="1:1" x14ac:dyDescent="0.25">
      <c r="A307" s="3">
        <v>42217.852395833332</v>
      </c>
    </row>
    <row r="308" spans="1:1" x14ac:dyDescent="0.25">
      <c r="A308" t="s">
        <v>17</v>
      </c>
    </row>
    <row r="309" spans="1:1" x14ac:dyDescent="0.25">
      <c r="A309" t="s">
        <v>18</v>
      </c>
    </row>
    <row r="310" spans="1:1" x14ac:dyDescent="0.25">
      <c r="A310" s="3">
        <v>42217.884687500002</v>
      </c>
    </row>
    <row r="311" spans="1:1" x14ac:dyDescent="0.25">
      <c r="A311" t="s">
        <v>17</v>
      </c>
    </row>
    <row r="312" spans="1:1" x14ac:dyDescent="0.25">
      <c r="A312" t="s">
        <v>18</v>
      </c>
    </row>
    <row r="313" spans="1:1" x14ac:dyDescent="0.25">
      <c r="A313" s="3">
        <v>42217.887476851851</v>
      </c>
    </row>
    <row r="314" spans="1:1" x14ac:dyDescent="0.25">
      <c r="A314" t="s">
        <v>17</v>
      </c>
    </row>
    <row r="315" spans="1:1" x14ac:dyDescent="0.25">
      <c r="A315" t="s">
        <v>18</v>
      </c>
    </row>
    <row r="316" spans="1:1" x14ac:dyDescent="0.25">
      <c r="A316" s="3">
        <v>42217.900752314818</v>
      </c>
    </row>
    <row r="317" spans="1:1" x14ac:dyDescent="0.25">
      <c r="A317" t="s">
        <v>17</v>
      </c>
    </row>
    <row r="318" spans="1:1" x14ac:dyDescent="0.25">
      <c r="A318" t="s">
        <v>18</v>
      </c>
    </row>
    <row r="319" spans="1:1" x14ac:dyDescent="0.25">
      <c r="A319" s="3">
        <v>42217.907152777778</v>
      </c>
    </row>
    <row r="320" spans="1:1" x14ac:dyDescent="0.25">
      <c r="A320" t="s">
        <v>17</v>
      </c>
    </row>
    <row r="321" spans="1:1" x14ac:dyDescent="0.25">
      <c r="A321" t="s">
        <v>18</v>
      </c>
    </row>
    <row r="322" spans="1:1" x14ac:dyDescent="0.25">
      <c r="A322" s="3">
        <v>42217.927488425928</v>
      </c>
    </row>
    <row r="323" spans="1:1" x14ac:dyDescent="0.25">
      <c r="A323" t="s">
        <v>17</v>
      </c>
    </row>
    <row r="324" spans="1:1" x14ac:dyDescent="0.25">
      <c r="A324" t="s">
        <v>18</v>
      </c>
    </row>
    <row r="325" spans="1:1" x14ac:dyDescent="0.25">
      <c r="A325" s="3">
        <v>42218.520798611113</v>
      </c>
    </row>
    <row r="326" spans="1:1" x14ac:dyDescent="0.25">
      <c r="A326" t="s">
        <v>17</v>
      </c>
    </row>
    <row r="327" spans="1:1" x14ac:dyDescent="0.25">
      <c r="A327" t="s">
        <v>18</v>
      </c>
    </row>
    <row r="328" spans="1:1" x14ac:dyDescent="0.25">
      <c r="A328" s="3">
        <v>42218.552997685183</v>
      </c>
    </row>
    <row r="329" spans="1:1" x14ac:dyDescent="0.25">
      <c r="A329" t="s">
        <v>17</v>
      </c>
    </row>
    <row r="330" spans="1:1" x14ac:dyDescent="0.25">
      <c r="A330" t="s">
        <v>18</v>
      </c>
    </row>
    <row r="331" spans="1:1" x14ac:dyDescent="0.25">
      <c r="A331" s="3">
        <v>42218.553182870368</v>
      </c>
    </row>
    <row r="332" spans="1:1" x14ac:dyDescent="0.25">
      <c r="A332" t="s">
        <v>17</v>
      </c>
    </row>
    <row r="333" spans="1:1" x14ac:dyDescent="0.25">
      <c r="A333" t="s">
        <v>18</v>
      </c>
    </row>
    <row r="334" spans="1:1" x14ac:dyDescent="0.25">
      <c r="A334" s="3">
        <v>42218.873067129629</v>
      </c>
    </row>
    <row r="335" spans="1:1" x14ac:dyDescent="0.25">
      <c r="A335" t="s">
        <v>17</v>
      </c>
    </row>
    <row r="336" spans="1:1" x14ac:dyDescent="0.25">
      <c r="A336" t="s">
        <v>18</v>
      </c>
    </row>
    <row r="337" spans="1:1" x14ac:dyDescent="0.25">
      <c r="A337" s="3">
        <v>42218.935868055552</v>
      </c>
    </row>
    <row r="338" spans="1:1" x14ac:dyDescent="0.25">
      <c r="A338" t="s">
        <v>17</v>
      </c>
    </row>
    <row r="339" spans="1:1" x14ac:dyDescent="0.25">
      <c r="A339" t="s">
        <v>18</v>
      </c>
    </row>
    <row r="340" spans="1:1" x14ac:dyDescent="0.25">
      <c r="A340" s="3">
        <v>42221.882523148146</v>
      </c>
    </row>
    <row r="341" spans="1:1" x14ac:dyDescent="0.25">
      <c r="A341" t="s">
        <v>17</v>
      </c>
    </row>
    <row r="342" spans="1:1" x14ac:dyDescent="0.25">
      <c r="A342" t="s">
        <v>18</v>
      </c>
    </row>
    <row r="343" spans="1:1" x14ac:dyDescent="0.25">
      <c r="A343" s="3">
        <v>42221.882731481484</v>
      </c>
    </row>
    <row r="344" spans="1:1" x14ac:dyDescent="0.25">
      <c r="A344" t="s">
        <v>17</v>
      </c>
    </row>
    <row r="345" spans="1:1" x14ac:dyDescent="0.25">
      <c r="A345" t="s">
        <v>18</v>
      </c>
    </row>
    <row r="346" spans="1:1" x14ac:dyDescent="0.25">
      <c r="A346" s="3">
        <v>42222.646736111114</v>
      </c>
    </row>
    <row r="347" spans="1:1" x14ac:dyDescent="0.25">
      <c r="A347" t="s">
        <v>17</v>
      </c>
    </row>
    <row r="348" spans="1:1" x14ac:dyDescent="0.25">
      <c r="A348" t="s">
        <v>18</v>
      </c>
    </row>
    <row r="349" spans="1:1" x14ac:dyDescent="0.25">
      <c r="A349" s="3">
        <v>42222.82</v>
      </c>
    </row>
    <row r="350" spans="1:1" x14ac:dyDescent="0.25">
      <c r="A350" t="s">
        <v>17</v>
      </c>
    </row>
    <row r="351" spans="1:1" x14ac:dyDescent="0.25">
      <c r="A351" t="s">
        <v>18</v>
      </c>
    </row>
    <row r="352" spans="1:1" x14ac:dyDescent="0.25">
      <c r="A352" s="3">
        <v>42223.484444444446</v>
      </c>
    </row>
    <row r="353" spans="1:1" x14ac:dyDescent="0.25">
      <c r="A353" t="s">
        <v>17</v>
      </c>
    </row>
    <row r="354" spans="1:1" x14ac:dyDescent="0.25">
      <c r="A354" t="s">
        <v>18</v>
      </c>
    </row>
    <row r="355" spans="1:1" x14ac:dyDescent="0.25">
      <c r="A355" s="3">
        <v>42223.645150462966</v>
      </c>
    </row>
    <row r="356" spans="1:1" x14ac:dyDescent="0.25">
      <c r="A356" t="s">
        <v>17</v>
      </c>
    </row>
    <row r="357" spans="1:1" x14ac:dyDescent="0.25">
      <c r="A357" t="s">
        <v>18</v>
      </c>
    </row>
    <row r="358" spans="1:1" x14ac:dyDescent="0.25">
      <c r="A358" s="3">
        <v>42223.647291666668</v>
      </c>
    </row>
    <row r="359" spans="1:1" x14ac:dyDescent="0.25">
      <c r="A359" t="s">
        <v>17</v>
      </c>
    </row>
    <row r="360" spans="1:1" x14ac:dyDescent="0.25">
      <c r="A360" t="s">
        <v>18</v>
      </c>
    </row>
    <row r="361" spans="1:1" x14ac:dyDescent="0.25">
      <c r="A361" s="3">
        <v>42223.652511574073</v>
      </c>
    </row>
    <row r="362" spans="1:1" x14ac:dyDescent="0.25">
      <c r="A362" t="s">
        <v>17</v>
      </c>
    </row>
    <row r="363" spans="1:1" x14ac:dyDescent="0.25">
      <c r="A363" t="s">
        <v>18</v>
      </c>
    </row>
    <row r="364" spans="1:1" x14ac:dyDescent="0.25">
      <c r="A364" s="3">
        <v>42224.485625000001</v>
      </c>
    </row>
    <row r="365" spans="1:1" x14ac:dyDescent="0.25">
      <c r="A365" t="s">
        <v>17</v>
      </c>
    </row>
    <row r="366" spans="1:1" x14ac:dyDescent="0.25">
      <c r="A366" t="s">
        <v>18</v>
      </c>
    </row>
    <row r="367" spans="1:1" x14ac:dyDescent="0.25">
      <c r="A367" s="3">
        <v>42224.685636574075</v>
      </c>
    </row>
    <row r="368" spans="1:1" x14ac:dyDescent="0.25">
      <c r="A368" t="s">
        <v>17</v>
      </c>
    </row>
    <row r="369" spans="1:1" x14ac:dyDescent="0.25">
      <c r="A369" t="s">
        <v>18</v>
      </c>
    </row>
    <row r="370" spans="1:1" x14ac:dyDescent="0.25">
      <c r="A370" s="3">
        <v>42224.693402777775</v>
      </c>
    </row>
    <row r="371" spans="1:1" x14ac:dyDescent="0.25">
      <c r="A371" t="s">
        <v>17</v>
      </c>
    </row>
    <row r="372" spans="1:1" x14ac:dyDescent="0.25">
      <c r="A372" t="s">
        <v>18</v>
      </c>
    </row>
    <row r="373" spans="1:1" x14ac:dyDescent="0.25">
      <c r="A373" s="3">
        <v>42224.693923611114</v>
      </c>
    </row>
    <row r="374" spans="1:1" x14ac:dyDescent="0.25">
      <c r="A374" t="s">
        <v>17</v>
      </c>
    </row>
    <row r="375" spans="1:1" x14ac:dyDescent="0.25">
      <c r="A375" t="s">
        <v>18</v>
      </c>
    </row>
    <row r="376" spans="1:1" x14ac:dyDescent="0.25">
      <c r="A376" s="3">
        <v>42224.741377314815</v>
      </c>
    </row>
    <row r="377" spans="1:1" x14ac:dyDescent="0.25">
      <c r="A377" t="s">
        <v>17</v>
      </c>
    </row>
    <row r="378" spans="1:1" x14ac:dyDescent="0.25">
      <c r="A378" t="s">
        <v>18</v>
      </c>
    </row>
    <row r="379" spans="1:1" x14ac:dyDescent="0.25">
      <c r="A379" s="3">
        <v>42224.741469907407</v>
      </c>
    </row>
    <row r="380" spans="1:1" x14ac:dyDescent="0.25">
      <c r="A380" t="s">
        <v>17</v>
      </c>
    </row>
    <row r="381" spans="1:1" x14ac:dyDescent="0.25">
      <c r="A381" t="s">
        <v>18</v>
      </c>
    </row>
    <row r="382" spans="1:1" x14ac:dyDescent="0.25">
      <c r="A382" s="3">
        <v>42224.911180555559</v>
      </c>
    </row>
    <row r="383" spans="1:1" x14ac:dyDescent="0.25">
      <c r="A383" t="s">
        <v>17</v>
      </c>
    </row>
    <row r="384" spans="1:1" x14ac:dyDescent="0.25">
      <c r="A384" t="s">
        <v>18</v>
      </c>
    </row>
    <row r="385" spans="1:1" x14ac:dyDescent="0.25">
      <c r="A385" s="3">
        <v>42224.918194444443</v>
      </c>
    </row>
    <row r="386" spans="1:1" x14ac:dyDescent="0.25">
      <c r="A386" t="s">
        <v>17</v>
      </c>
    </row>
    <row r="387" spans="1:1" x14ac:dyDescent="0.25">
      <c r="A387" t="s">
        <v>18</v>
      </c>
    </row>
    <row r="388" spans="1:1" x14ac:dyDescent="0.25">
      <c r="A388" s="3">
        <v>42224.981527777774</v>
      </c>
    </row>
    <row r="389" spans="1:1" x14ac:dyDescent="0.25">
      <c r="A389" t="s">
        <v>17</v>
      </c>
    </row>
    <row r="390" spans="1:1" x14ac:dyDescent="0.25">
      <c r="A390" t="s">
        <v>18</v>
      </c>
    </row>
    <row r="391" spans="1:1" x14ac:dyDescent="0.25">
      <c r="A391" s="3">
        <v>42225.871539351851</v>
      </c>
    </row>
    <row r="392" spans="1:1" x14ac:dyDescent="0.25">
      <c r="A392" t="s">
        <v>17</v>
      </c>
    </row>
    <row r="393" spans="1:1" x14ac:dyDescent="0.25">
      <c r="A393" t="s">
        <v>18</v>
      </c>
    </row>
    <row r="394" spans="1:1" x14ac:dyDescent="0.25">
      <c r="A394" s="3">
        <v>42226.504201388889</v>
      </c>
    </row>
    <row r="395" spans="1:1" x14ac:dyDescent="0.25">
      <c r="A395" t="s">
        <v>17</v>
      </c>
    </row>
    <row r="396" spans="1:1" x14ac:dyDescent="0.25">
      <c r="A396" t="s">
        <v>18</v>
      </c>
    </row>
    <row r="397" spans="1:1" x14ac:dyDescent="0.25">
      <c r="A397" s="3">
        <v>42226.504467592589</v>
      </c>
    </row>
    <row r="398" spans="1:1" x14ac:dyDescent="0.25">
      <c r="A398" t="s">
        <v>17</v>
      </c>
    </row>
    <row r="399" spans="1:1" x14ac:dyDescent="0.25">
      <c r="A399" t="s">
        <v>18</v>
      </c>
    </row>
    <row r="400" spans="1:1" x14ac:dyDescent="0.25">
      <c r="A400" s="3">
        <v>42227.497847222221</v>
      </c>
    </row>
    <row r="401" spans="1:2" x14ac:dyDescent="0.25">
      <c r="A401" t="s">
        <v>17</v>
      </c>
    </row>
    <row r="402" spans="1:2" x14ac:dyDescent="0.25">
      <c r="A402" t="s">
        <v>18</v>
      </c>
    </row>
    <row r="403" spans="1:2" x14ac:dyDescent="0.25">
      <c r="A403" s="3">
        <v>42230.48641203704</v>
      </c>
      <c r="B403" s="4"/>
    </row>
    <row r="404" spans="1:2" x14ac:dyDescent="0.25">
      <c r="A404" t="s">
        <v>17</v>
      </c>
    </row>
    <row r="405" spans="1:2" x14ac:dyDescent="0.25">
      <c r="A405" t="s">
        <v>18</v>
      </c>
    </row>
    <row r="406" spans="1:2" x14ac:dyDescent="0.25">
      <c r="A406" s="3">
        <v>42259.456064814818</v>
      </c>
    </row>
    <row r="407" spans="1:2" x14ac:dyDescent="0.25">
      <c r="A407" t="s">
        <v>17</v>
      </c>
    </row>
    <row r="408" spans="1:2" x14ac:dyDescent="0.25">
      <c r="A408" t="s">
        <v>18</v>
      </c>
    </row>
    <row r="409" spans="1:2" x14ac:dyDescent="0.25">
      <c r="A409" s="3">
        <v>42259.463078703702</v>
      </c>
    </row>
    <row r="410" spans="1:2" x14ac:dyDescent="0.25">
      <c r="A410" t="s">
        <v>17</v>
      </c>
    </row>
    <row r="411" spans="1:2" x14ac:dyDescent="0.25">
      <c r="A411" t="s">
        <v>18</v>
      </c>
    </row>
    <row r="412" spans="1:2" x14ac:dyDescent="0.25">
      <c r="A412" s="3">
        <v>42259.463622685187</v>
      </c>
    </row>
    <row r="413" spans="1:2" x14ac:dyDescent="0.25">
      <c r="A413" t="s">
        <v>17</v>
      </c>
    </row>
    <row r="414" spans="1:2" x14ac:dyDescent="0.25">
      <c r="A414" t="s">
        <v>18</v>
      </c>
    </row>
    <row r="415" spans="1:2" x14ac:dyDescent="0.25">
      <c r="A415" s="3">
        <v>42259.464328703703</v>
      </c>
    </row>
    <row r="416" spans="1:2" x14ac:dyDescent="0.25">
      <c r="A416" t="s">
        <v>17</v>
      </c>
    </row>
    <row r="417" spans="1:1" x14ac:dyDescent="0.25">
      <c r="A417" t="s">
        <v>18</v>
      </c>
    </row>
    <row r="418" spans="1:1" x14ac:dyDescent="0.25">
      <c r="A418" s="3">
        <v>42259.465810185182</v>
      </c>
    </row>
    <row r="419" spans="1:1" x14ac:dyDescent="0.25">
      <c r="A419" t="s">
        <v>17</v>
      </c>
    </row>
    <row r="420" spans="1:1" x14ac:dyDescent="0.25">
      <c r="A420" t="s">
        <v>18</v>
      </c>
    </row>
    <row r="421" spans="1:1" x14ac:dyDescent="0.25">
      <c r="A421" s="3">
        <v>42259.825972222221</v>
      </c>
    </row>
    <row r="422" spans="1:1" x14ac:dyDescent="0.25">
      <c r="A422" t="s">
        <v>17</v>
      </c>
    </row>
    <row r="423" spans="1:1" x14ac:dyDescent="0.25">
      <c r="A423" t="s">
        <v>18</v>
      </c>
    </row>
    <row r="424" spans="1:1" x14ac:dyDescent="0.25">
      <c r="A424" s="3">
        <v>42259.966805555552</v>
      </c>
    </row>
    <row r="425" spans="1:1" x14ac:dyDescent="0.25">
      <c r="A425" t="s">
        <v>17</v>
      </c>
    </row>
    <row r="426" spans="1:1" x14ac:dyDescent="0.25">
      <c r="A426" t="s">
        <v>18</v>
      </c>
    </row>
    <row r="427" spans="1:1" x14ac:dyDescent="0.25">
      <c r="A427" s="3">
        <v>42259.968287037038</v>
      </c>
    </row>
    <row r="428" spans="1:1" x14ac:dyDescent="0.25">
      <c r="A428" t="s">
        <v>17</v>
      </c>
    </row>
    <row r="429" spans="1:1" x14ac:dyDescent="0.25">
      <c r="A429" t="s">
        <v>18</v>
      </c>
    </row>
    <row r="430" spans="1:1" x14ac:dyDescent="0.25">
      <c r="A430" s="3">
        <v>42260.584861111114</v>
      </c>
    </row>
    <row r="431" spans="1:1" x14ac:dyDescent="0.25">
      <c r="A431" t="s">
        <v>17</v>
      </c>
    </row>
    <row r="432" spans="1:1" x14ac:dyDescent="0.25">
      <c r="A432" t="s">
        <v>18</v>
      </c>
    </row>
    <row r="433" spans="1:1" x14ac:dyDescent="0.25">
      <c r="A433" s="3">
        <v>42264.975949074076</v>
      </c>
    </row>
    <row r="434" spans="1:1" x14ac:dyDescent="0.25">
      <c r="A434" t="s">
        <v>17</v>
      </c>
    </row>
    <row r="435" spans="1:1" x14ac:dyDescent="0.25">
      <c r="A435" t="s">
        <v>18</v>
      </c>
    </row>
    <row r="436" spans="1:1" x14ac:dyDescent="0.25">
      <c r="A436" s="3">
        <v>42265.426678240743</v>
      </c>
    </row>
    <row r="437" spans="1:1" x14ac:dyDescent="0.25">
      <c r="A437" t="s">
        <v>17</v>
      </c>
    </row>
    <row r="438" spans="1:1" x14ac:dyDescent="0.25">
      <c r="A438" t="s">
        <v>18</v>
      </c>
    </row>
    <row r="439" spans="1:1" x14ac:dyDescent="0.25">
      <c r="A439" s="3">
        <v>42265.426932870374</v>
      </c>
    </row>
    <row r="440" spans="1:1" x14ac:dyDescent="0.25">
      <c r="A440" t="s">
        <v>17</v>
      </c>
    </row>
    <row r="441" spans="1:1" x14ac:dyDescent="0.25">
      <c r="A441" t="s">
        <v>18</v>
      </c>
    </row>
    <row r="442" spans="1:1" x14ac:dyDescent="0.25">
      <c r="A442" s="3">
        <v>42265.844606481478</v>
      </c>
    </row>
    <row r="443" spans="1:1" x14ac:dyDescent="0.25">
      <c r="A443" t="s">
        <v>17</v>
      </c>
    </row>
    <row r="444" spans="1:1" x14ac:dyDescent="0.25">
      <c r="A444" t="s">
        <v>18</v>
      </c>
    </row>
    <row r="445" spans="1:1" x14ac:dyDescent="0.25">
      <c r="A445" s="3">
        <v>42265.907118055555</v>
      </c>
    </row>
    <row r="446" spans="1:1" x14ac:dyDescent="0.25">
      <c r="A446" t="s">
        <v>17</v>
      </c>
    </row>
    <row r="447" spans="1:1" x14ac:dyDescent="0.25">
      <c r="A447" t="s">
        <v>18</v>
      </c>
    </row>
    <row r="448" spans="1:1" x14ac:dyDescent="0.25">
      <c r="A448" s="3">
        <v>42265.909560185188</v>
      </c>
    </row>
    <row r="449" spans="1:1" x14ac:dyDescent="0.25">
      <c r="A449" t="s">
        <v>17</v>
      </c>
    </row>
    <row r="450" spans="1:1" x14ac:dyDescent="0.25">
      <c r="A450" t="s">
        <v>18</v>
      </c>
    </row>
    <row r="451" spans="1:1" x14ac:dyDescent="0.25">
      <c r="A451" s="3">
        <v>42265.969131944446</v>
      </c>
    </row>
    <row r="452" spans="1:1" x14ac:dyDescent="0.25">
      <c r="A452" t="s">
        <v>17</v>
      </c>
    </row>
    <row r="453" spans="1:1" x14ac:dyDescent="0.25">
      <c r="A453" t="s">
        <v>18</v>
      </c>
    </row>
    <row r="454" spans="1:1" x14ac:dyDescent="0.25">
      <c r="A454" s="3">
        <v>42267.482453703706</v>
      </c>
    </row>
    <row r="455" spans="1:1" x14ac:dyDescent="0.25">
      <c r="A455" t="s">
        <v>17</v>
      </c>
    </row>
    <row r="456" spans="1:1" x14ac:dyDescent="0.25">
      <c r="A456" t="s">
        <v>18</v>
      </c>
    </row>
    <row r="457" spans="1:1" x14ac:dyDescent="0.25">
      <c r="A457" s="3">
        <v>42267.520810185182</v>
      </c>
    </row>
    <row r="458" spans="1:1" x14ac:dyDescent="0.25">
      <c r="A458" t="s">
        <v>17</v>
      </c>
    </row>
    <row r="459" spans="1:1" x14ac:dyDescent="0.25">
      <c r="A459" t="s">
        <v>18</v>
      </c>
    </row>
    <row r="460" spans="1:1" x14ac:dyDescent="0.25">
      <c r="A460" s="3">
        <v>42267.525567129633</v>
      </c>
    </row>
    <row r="461" spans="1:1" x14ac:dyDescent="0.25">
      <c r="A461" t="s">
        <v>17</v>
      </c>
    </row>
    <row r="462" spans="1:1" x14ac:dyDescent="0.25">
      <c r="A462" t="s">
        <v>18</v>
      </c>
    </row>
    <row r="463" spans="1:1" x14ac:dyDescent="0.25">
      <c r="A463" s="3">
        <v>42267.655798611115</v>
      </c>
    </row>
    <row r="464" spans="1:1" x14ac:dyDescent="0.25">
      <c r="A464" t="s">
        <v>17</v>
      </c>
    </row>
    <row r="465" spans="1:1" x14ac:dyDescent="0.25">
      <c r="A465" t="s">
        <v>18</v>
      </c>
    </row>
    <row r="466" spans="1:1" x14ac:dyDescent="0.25">
      <c r="A466" s="3">
        <v>42268.035162037035</v>
      </c>
    </row>
    <row r="467" spans="1:1" x14ac:dyDescent="0.25">
      <c r="A467" t="s">
        <v>17</v>
      </c>
    </row>
    <row r="468" spans="1:1" x14ac:dyDescent="0.25">
      <c r="A468" t="s">
        <v>18</v>
      </c>
    </row>
    <row r="469" spans="1:1" x14ac:dyDescent="0.25">
      <c r="A469" s="3">
        <v>42269.934699074074</v>
      </c>
    </row>
    <row r="470" spans="1:1" x14ac:dyDescent="0.25">
      <c r="A470" t="s">
        <v>17</v>
      </c>
    </row>
    <row r="471" spans="1:1" x14ac:dyDescent="0.25">
      <c r="A471" t="s">
        <v>18</v>
      </c>
    </row>
    <row r="472" spans="1:1" x14ac:dyDescent="0.25">
      <c r="A472" s="3">
        <v>42269.935925925929</v>
      </c>
    </row>
    <row r="473" spans="1:1" x14ac:dyDescent="0.25">
      <c r="A473" t="s">
        <v>17</v>
      </c>
    </row>
    <row r="474" spans="1:1" x14ac:dyDescent="0.25">
      <c r="A474" t="s">
        <v>18</v>
      </c>
    </row>
    <row r="475" spans="1:1" x14ac:dyDescent="0.25">
      <c r="A475" s="3">
        <v>42269.93681712963</v>
      </c>
    </row>
    <row r="476" spans="1:1" x14ac:dyDescent="0.25">
      <c r="A476" t="s">
        <v>17</v>
      </c>
    </row>
    <row r="477" spans="1:1" x14ac:dyDescent="0.25">
      <c r="A477" t="s">
        <v>18</v>
      </c>
    </row>
    <row r="478" spans="1:1" x14ac:dyDescent="0.25">
      <c r="A478" s="3">
        <v>42269.937638888892</v>
      </c>
    </row>
    <row r="479" spans="1:1" x14ac:dyDescent="0.25">
      <c r="A479" t="s">
        <v>17</v>
      </c>
    </row>
    <row r="480" spans="1:1" x14ac:dyDescent="0.25">
      <c r="A480" t="s">
        <v>18</v>
      </c>
    </row>
    <row r="481" spans="1:1" x14ac:dyDescent="0.25">
      <c r="A481" s="3">
        <v>42269.938379629632</v>
      </c>
    </row>
    <row r="482" spans="1:1" x14ac:dyDescent="0.25">
      <c r="A482" t="s">
        <v>17</v>
      </c>
    </row>
    <row r="483" spans="1:1" x14ac:dyDescent="0.25">
      <c r="A483" t="s">
        <v>18</v>
      </c>
    </row>
    <row r="484" spans="1:1" x14ac:dyDescent="0.25">
      <c r="A484" s="3">
        <v>42269.939780092594</v>
      </c>
    </row>
    <row r="485" spans="1:1" x14ac:dyDescent="0.25">
      <c r="A485" t="s">
        <v>17</v>
      </c>
    </row>
    <row r="486" spans="1:1" x14ac:dyDescent="0.25">
      <c r="A486" t="s">
        <v>18</v>
      </c>
    </row>
    <row r="487" spans="1:1" x14ac:dyDescent="0.25">
      <c r="A487" s="3">
        <v>42269.945671296293</v>
      </c>
    </row>
    <row r="488" spans="1:1" x14ac:dyDescent="0.25">
      <c r="A488" t="s">
        <v>17</v>
      </c>
    </row>
    <row r="489" spans="1:1" x14ac:dyDescent="0.25">
      <c r="A489" t="s">
        <v>18</v>
      </c>
    </row>
    <row r="490" spans="1:1" x14ac:dyDescent="0.25">
      <c r="A490" s="3">
        <v>42270.91474537037</v>
      </c>
    </row>
    <row r="491" spans="1:1" x14ac:dyDescent="0.25">
      <c r="A491" t="s">
        <v>17</v>
      </c>
    </row>
    <row r="492" spans="1:1" x14ac:dyDescent="0.25">
      <c r="A492" t="s">
        <v>18</v>
      </c>
    </row>
    <row r="493" spans="1:1" x14ac:dyDescent="0.25">
      <c r="A493" s="3">
        <v>42270.947534722225</v>
      </c>
    </row>
    <row r="494" spans="1:1" x14ac:dyDescent="0.25">
      <c r="A494" t="s">
        <v>17</v>
      </c>
    </row>
    <row r="495" spans="1:1" x14ac:dyDescent="0.25">
      <c r="A495" t="s">
        <v>18</v>
      </c>
    </row>
    <row r="496" spans="1:1" x14ac:dyDescent="0.25">
      <c r="A496" s="3">
        <v>42270.951550925929</v>
      </c>
    </row>
    <row r="497" spans="1:1" x14ac:dyDescent="0.25">
      <c r="A497" t="s">
        <v>17</v>
      </c>
    </row>
    <row r="498" spans="1:1" x14ac:dyDescent="0.25">
      <c r="A498" t="s">
        <v>18</v>
      </c>
    </row>
    <row r="499" spans="1:1" x14ac:dyDescent="0.25">
      <c r="A499" s="3">
        <v>42270.960509259261</v>
      </c>
    </row>
    <row r="500" spans="1:1" x14ac:dyDescent="0.25">
      <c r="A500" t="s">
        <v>17</v>
      </c>
    </row>
    <row r="501" spans="1:1" x14ac:dyDescent="0.25">
      <c r="A501" t="s">
        <v>18</v>
      </c>
    </row>
    <row r="502" spans="1:1" x14ac:dyDescent="0.25">
      <c r="A502" s="3">
        <v>42271.008645833332</v>
      </c>
    </row>
    <row r="503" spans="1:1" x14ac:dyDescent="0.25">
      <c r="A503" t="s">
        <v>17</v>
      </c>
    </row>
    <row r="504" spans="1:1" x14ac:dyDescent="0.25">
      <c r="A504" t="s">
        <v>18</v>
      </c>
    </row>
    <row r="505" spans="1:1" x14ac:dyDescent="0.25">
      <c r="A505" s="3">
        <v>42271.607986111114</v>
      </c>
    </row>
    <row r="506" spans="1:1" x14ac:dyDescent="0.25">
      <c r="A506" t="s">
        <v>17</v>
      </c>
    </row>
    <row r="507" spans="1:1" x14ac:dyDescent="0.25">
      <c r="A507" t="s">
        <v>18</v>
      </c>
    </row>
    <row r="508" spans="1:1" x14ac:dyDescent="0.25">
      <c r="A508" s="3">
        <v>42271.618032407408</v>
      </c>
    </row>
    <row r="509" spans="1:1" x14ac:dyDescent="0.25">
      <c r="A509" t="s">
        <v>17</v>
      </c>
    </row>
    <row r="510" spans="1:1" x14ac:dyDescent="0.25">
      <c r="A510" t="s">
        <v>18</v>
      </c>
    </row>
    <row r="511" spans="1:1" x14ac:dyDescent="0.25">
      <c r="A511" s="3">
        <v>42271.620439814818</v>
      </c>
    </row>
    <row r="512" spans="1:1" x14ac:dyDescent="0.25">
      <c r="A512" t="s">
        <v>17</v>
      </c>
    </row>
    <row r="513" spans="1:1" x14ac:dyDescent="0.25">
      <c r="A513" t="s">
        <v>18</v>
      </c>
    </row>
    <row r="514" spans="1:1" x14ac:dyDescent="0.25">
      <c r="A514" s="3">
        <v>42271.621851851851</v>
      </c>
    </row>
    <row r="515" spans="1:1" x14ac:dyDescent="0.25">
      <c r="A515" t="s">
        <v>17</v>
      </c>
    </row>
    <row r="516" spans="1:1" x14ac:dyDescent="0.25">
      <c r="A516" t="s">
        <v>18</v>
      </c>
    </row>
    <row r="517" spans="1:1" x14ac:dyDescent="0.25">
      <c r="A517" s="3">
        <v>42271.623541666668</v>
      </c>
    </row>
    <row r="518" spans="1:1" x14ac:dyDescent="0.25">
      <c r="A518" t="s">
        <v>17</v>
      </c>
    </row>
    <row r="519" spans="1:1" x14ac:dyDescent="0.25">
      <c r="A519" t="s">
        <v>18</v>
      </c>
    </row>
    <row r="520" spans="1:1" x14ac:dyDescent="0.25">
      <c r="A520" s="3">
        <v>42271.631226851852</v>
      </c>
    </row>
    <row r="521" spans="1:1" x14ac:dyDescent="0.25">
      <c r="A521" t="s">
        <v>17</v>
      </c>
    </row>
    <row r="522" spans="1:1" x14ac:dyDescent="0.25">
      <c r="A522" t="s">
        <v>18</v>
      </c>
    </row>
    <row r="523" spans="1:1" x14ac:dyDescent="0.25">
      <c r="A523" s="3">
        <v>42271.636840277781</v>
      </c>
    </row>
    <row r="524" spans="1:1" x14ac:dyDescent="0.25">
      <c r="A524" t="s">
        <v>17</v>
      </c>
    </row>
    <row r="525" spans="1:1" x14ac:dyDescent="0.25">
      <c r="A525" t="s">
        <v>18</v>
      </c>
    </row>
    <row r="526" spans="1:1" x14ac:dyDescent="0.25">
      <c r="A526" s="3">
        <v>42271.645844907405</v>
      </c>
    </row>
    <row r="527" spans="1:1" x14ac:dyDescent="0.25">
      <c r="A527" t="s">
        <v>17</v>
      </c>
    </row>
    <row r="528" spans="1:1" x14ac:dyDescent="0.25">
      <c r="A528" t="s">
        <v>18</v>
      </c>
    </row>
    <row r="529" spans="1:1" x14ac:dyDescent="0.25">
      <c r="A529" s="3">
        <v>42274.710451388892</v>
      </c>
    </row>
    <row r="530" spans="1:1" x14ac:dyDescent="0.25">
      <c r="A530" t="s">
        <v>17</v>
      </c>
    </row>
    <row r="531" spans="1:1" x14ac:dyDescent="0.25">
      <c r="A531" t="s">
        <v>18</v>
      </c>
    </row>
    <row r="532" spans="1:1" x14ac:dyDescent="0.25">
      <c r="A532" s="3">
        <v>42274.717789351853</v>
      </c>
    </row>
    <row r="533" spans="1:1" x14ac:dyDescent="0.25">
      <c r="A533" t="s">
        <v>17</v>
      </c>
    </row>
    <row r="534" spans="1:1" x14ac:dyDescent="0.25">
      <c r="A534" t="s">
        <v>18</v>
      </c>
    </row>
    <row r="535" spans="1:1" x14ac:dyDescent="0.25">
      <c r="A535" s="3">
        <v>42274.740555555552</v>
      </c>
    </row>
    <row r="536" spans="1:1" x14ac:dyDescent="0.25">
      <c r="A536" t="s">
        <v>17</v>
      </c>
    </row>
    <row r="537" spans="1:1" x14ac:dyDescent="0.25">
      <c r="A537" t="s">
        <v>18</v>
      </c>
    </row>
    <row r="538" spans="1:1" x14ac:dyDescent="0.25">
      <c r="A538" s="3">
        <v>42274.741493055553</v>
      </c>
    </row>
    <row r="539" spans="1:1" x14ac:dyDescent="0.25">
      <c r="A539" t="s">
        <v>17</v>
      </c>
    </row>
    <row r="540" spans="1:1" x14ac:dyDescent="0.25">
      <c r="A540" t="s">
        <v>18</v>
      </c>
    </row>
    <row r="541" spans="1:1" x14ac:dyDescent="0.25">
      <c r="A541" s="3">
        <v>42274.741712962961</v>
      </c>
    </row>
    <row r="542" spans="1:1" x14ac:dyDescent="0.25">
      <c r="A542" t="s">
        <v>17</v>
      </c>
    </row>
    <row r="543" spans="1:1" x14ac:dyDescent="0.25">
      <c r="A543" t="s">
        <v>18</v>
      </c>
    </row>
    <row r="544" spans="1:1" x14ac:dyDescent="0.25">
      <c r="A544" s="3">
        <v>42274.749074074076</v>
      </c>
    </row>
    <row r="545" spans="1:1" x14ac:dyDescent="0.25">
      <c r="A545" t="s">
        <v>17</v>
      </c>
    </row>
    <row r="546" spans="1:1" x14ac:dyDescent="0.25">
      <c r="A546" t="s">
        <v>18</v>
      </c>
    </row>
    <row r="547" spans="1:1" x14ac:dyDescent="0.25">
      <c r="A547" s="3">
        <v>42274.752187500002</v>
      </c>
    </row>
    <row r="548" spans="1:1" x14ac:dyDescent="0.25">
      <c r="A548" t="s">
        <v>17</v>
      </c>
    </row>
    <row r="549" spans="1:1" x14ac:dyDescent="0.25">
      <c r="A549" t="s">
        <v>18</v>
      </c>
    </row>
    <row r="550" spans="1:1" x14ac:dyDescent="0.25">
      <c r="A550" s="3">
        <v>42274.753553240742</v>
      </c>
    </row>
    <row r="551" spans="1:1" x14ac:dyDescent="0.25">
      <c r="A551" t="s">
        <v>17</v>
      </c>
    </row>
    <row r="552" spans="1:1" x14ac:dyDescent="0.25">
      <c r="A552" t="s">
        <v>18</v>
      </c>
    </row>
    <row r="553" spans="1:1" x14ac:dyDescent="0.25">
      <c r="A553" s="3">
        <v>42275.278877314813</v>
      </c>
    </row>
    <row r="554" spans="1:1" x14ac:dyDescent="0.25">
      <c r="A554" t="s">
        <v>17</v>
      </c>
    </row>
    <row r="555" spans="1:1" x14ac:dyDescent="0.25">
      <c r="A555" t="s">
        <v>18</v>
      </c>
    </row>
    <row r="556" spans="1:1" x14ac:dyDescent="0.25">
      <c r="A556" s="3">
        <v>42280.505277777775</v>
      </c>
    </row>
    <row r="557" spans="1:1" x14ac:dyDescent="0.25">
      <c r="A557" t="s">
        <v>17</v>
      </c>
    </row>
    <row r="558" spans="1:1" x14ac:dyDescent="0.25">
      <c r="A558" t="s">
        <v>18</v>
      </c>
    </row>
    <row r="559" spans="1:1" x14ac:dyDescent="0.25">
      <c r="A559" s="3">
        <v>42280.801944444444</v>
      </c>
    </row>
    <row r="560" spans="1:1" x14ac:dyDescent="0.25">
      <c r="A560" t="s">
        <v>17</v>
      </c>
    </row>
    <row r="561" spans="1:1" x14ac:dyDescent="0.25">
      <c r="A561" t="s">
        <v>18</v>
      </c>
    </row>
    <row r="562" spans="1:1" x14ac:dyDescent="0.25">
      <c r="A562" s="3">
        <v>42280.938020833331</v>
      </c>
    </row>
    <row r="563" spans="1:1" x14ac:dyDescent="0.25">
      <c r="A563" t="s">
        <v>17</v>
      </c>
    </row>
    <row r="564" spans="1:1" x14ac:dyDescent="0.25">
      <c r="A564" t="s">
        <v>18</v>
      </c>
    </row>
    <row r="565" spans="1:1" x14ac:dyDescent="0.25">
      <c r="A565" s="3">
        <v>42282.011087962965</v>
      </c>
    </row>
    <row r="566" spans="1:1" x14ac:dyDescent="0.25">
      <c r="A566" t="s">
        <v>17</v>
      </c>
    </row>
    <row r="567" spans="1:1" x14ac:dyDescent="0.25">
      <c r="A567" t="s">
        <v>18</v>
      </c>
    </row>
    <row r="568" spans="1:1" x14ac:dyDescent="0.25">
      <c r="A568" s="3">
        <v>42283.455682870372</v>
      </c>
    </row>
    <row r="569" spans="1:1" x14ac:dyDescent="0.25">
      <c r="A569" t="s">
        <v>17</v>
      </c>
    </row>
    <row r="570" spans="1:1" x14ac:dyDescent="0.25">
      <c r="A570" t="s">
        <v>18</v>
      </c>
    </row>
    <row r="571" spans="1:1" x14ac:dyDescent="0.25">
      <c r="A571" s="3">
        <v>42283.612569444442</v>
      </c>
    </row>
    <row r="572" spans="1:1" x14ac:dyDescent="0.25">
      <c r="A572" t="s">
        <v>17</v>
      </c>
    </row>
    <row r="573" spans="1:1" x14ac:dyDescent="0.25">
      <c r="A573" t="s">
        <v>18</v>
      </c>
    </row>
    <row r="574" spans="1:1" x14ac:dyDescent="0.25">
      <c r="A574" s="3">
        <v>42284.980092592596</v>
      </c>
    </row>
    <row r="575" spans="1:1" x14ac:dyDescent="0.25">
      <c r="A575" t="s">
        <v>17</v>
      </c>
    </row>
    <row r="576" spans="1:1" x14ac:dyDescent="0.25">
      <c r="A576" t="s">
        <v>18</v>
      </c>
    </row>
    <row r="577" spans="1:1" x14ac:dyDescent="0.25">
      <c r="A577" s="3">
        <v>42286.461886574078</v>
      </c>
    </row>
    <row r="578" spans="1:1" x14ac:dyDescent="0.25">
      <c r="A578" t="s">
        <v>17</v>
      </c>
    </row>
    <row r="579" spans="1:1" x14ac:dyDescent="0.25">
      <c r="A579" t="s">
        <v>18</v>
      </c>
    </row>
    <row r="580" spans="1:1" x14ac:dyDescent="0.25">
      <c r="A580" s="3">
        <v>42293.51903935185</v>
      </c>
    </row>
    <row r="581" spans="1:1" x14ac:dyDescent="0.25">
      <c r="A581" t="s">
        <v>17</v>
      </c>
    </row>
    <row r="582" spans="1:1" x14ac:dyDescent="0.25">
      <c r="A582" t="s">
        <v>18</v>
      </c>
    </row>
    <row r="583" spans="1:1" x14ac:dyDescent="0.25">
      <c r="A583" s="3">
        <v>42361.213888888888</v>
      </c>
    </row>
    <row r="584" spans="1:1" x14ac:dyDescent="0.25">
      <c r="A584" t="s">
        <v>17</v>
      </c>
    </row>
    <row r="585" spans="1:1" x14ac:dyDescent="0.25">
      <c r="A585" t="s">
        <v>18</v>
      </c>
    </row>
    <row r="586" spans="1:1" x14ac:dyDescent="0.25">
      <c r="A586" s="3">
        <v>42369.526076388887</v>
      </c>
    </row>
    <row r="587" spans="1:1" x14ac:dyDescent="0.25">
      <c r="A587" t="s">
        <v>17</v>
      </c>
    </row>
    <row r="588" spans="1:1" x14ac:dyDescent="0.25">
      <c r="A588" t="s">
        <v>18</v>
      </c>
    </row>
    <row r="589" spans="1:1" x14ac:dyDescent="0.25">
      <c r="A589" s="3">
        <v>42374.644432870373</v>
      </c>
    </row>
    <row r="590" spans="1:1" x14ac:dyDescent="0.25">
      <c r="A590" t="s">
        <v>17</v>
      </c>
    </row>
    <row r="591" spans="1:1" x14ac:dyDescent="0.25">
      <c r="A591" t="s">
        <v>18</v>
      </c>
    </row>
    <row r="592" spans="1:1" x14ac:dyDescent="0.25">
      <c r="A592" s="3">
        <v>42374.692164351851</v>
      </c>
    </row>
    <row r="593" spans="1:1" x14ac:dyDescent="0.25">
      <c r="A593" t="s">
        <v>17</v>
      </c>
    </row>
    <row r="594" spans="1:1" x14ac:dyDescent="0.25">
      <c r="A594" t="s">
        <v>18</v>
      </c>
    </row>
    <row r="595" spans="1:1" x14ac:dyDescent="0.25">
      <c r="A595" s="3">
        <v>42374.696053240739</v>
      </c>
    </row>
    <row r="596" spans="1:1" x14ac:dyDescent="0.25">
      <c r="A596" t="s">
        <v>17</v>
      </c>
    </row>
    <row r="597" spans="1:1" x14ac:dyDescent="0.25">
      <c r="A597" t="s">
        <v>18</v>
      </c>
    </row>
    <row r="598" spans="1:1" x14ac:dyDescent="0.25">
      <c r="A598" s="3">
        <v>42374.696585648147</v>
      </c>
    </row>
    <row r="599" spans="1:1" x14ac:dyDescent="0.25">
      <c r="A599" t="s">
        <v>17</v>
      </c>
    </row>
    <row r="600" spans="1:1" x14ac:dyDescent="0.25">
      <c r="A600" t="s">
        <v>18</v>
      </c>
    </row>
    <row r="601" spans="1:1" x14ac:dyDescent="0.25">
      <c r="A601" s="3">
        <v>42375.827893518515</v>
      </c>
    </row>
    <row r="602" spans="1:1" x14ac:dyDescent="0.25">
      <c r="A602" t="s">
        <v>17</v>
      </c>
    </row>
    <row r="603" spans="1:1" x14ac:dyDescent="0.25">
      <c r="A603" t="s">
        <v>18</v>
      </c>
    </row>
    <row r="604" spans="1:1" x14ac:dyDescent="0.25">
      <c r="A604" s="3">
        <v>42376.654293981483</v>
      </c>
    </row>
    <row r="605" spans="1:1" x14ac:dyDescent="0.25">
      <c r="A605" t="s">
        <v>17</v>
      </c>
    </row>
    <row r="606" spans="1:1" x14ac:dyDescent="0.25">
      <c r="A606" t="s">
        <v>18</v>
      </c>
    </row>
    <row r="607" spans="1:1" x14ac:dyDescent="0.25">
      <c r="A607" s="3">
        <v>42379.120439814818</v>
      </c>
    </row>
    <row r="608" spans="1:1" x14ac:dyDescent="0.25">
      <c r="A608" t="s">
        <v>17</v>
      </c>
    </row>
    <row r="609" spans="1:1" x14ac:dyDescent="0.25">
      <c r="A609" t="s">
        <v>18</v>
      </c>
    </row>
    <row r="610" spans="1:1" x14ac:dyDescent="0.25">
      <c r="A610" s="3">
        <v>42386.89576388889</v>
      </c>
    </row>
    <row r="611" spans="1:1" x14ac:dyDescent="0.25">
      <c r="A611" t="s">
        <v>17</v>
      </c>
    </row>
    <row r="612" spans="1:1" x14ac:dyDescent="0.25">
      <c r="A612" t="s">
        <v>18</v>
      </c>
    </row>
    <row r="613" spans="1:1" x14ac:dyDescent="0.25">
      <c r="A613" s="3">
        <v>42386.915219907409</v>
      </c>
    </row>
    <row r="614" spans="1:1" x14ac:dyDescent="0.25">
      <c r="A614" t="s">
        <v>17</v>
      </c>
    </row>
    <row r="615" spans="1:1" x14ac:dyDescent="0.25">
      <c r="A615" t="s">
        <v>18</v>
      </c>
    </row>
    <row r="616" spans="1:1" x14ac:dyDescent="0.25">
      <c r="A616" s="3">
        <v>42386.93440972222</v>
      </c>
    </row>
    <row r="617" spans="1:1" x14ac:dyDescent="0.25">
      <c r="A617" t="s">
        <v>17</v>
      </c>
    </row>
    <row r="618" spans="1:1" x14ac:dyDescent="0.25">
      <c r="A618" t="s">
        <v>18</v>
      </c>
    </row>
    <row r="619" spans="1:1" x14ac:dyDescent="0.25">
      <c r="A619" s="3">
        <v>42386.941631944443</v>
      </c>
    </row>
    <row r="620" spans="1:1" x14ac:dyDescent="0.25">
      <c r="A620" t="s">
        <v>17</v>
      </c>
    </row>
    <row r="621" spans="1:1" x14ac:dyDescent="0.25">
      <c r="A621" t="s">
        <v>18</v>
      </c>
    </row>
    <row r="622" spans="1:1" x14ac:dyDescent="0.25">
      <c r="A622" s="3">
        <v>42386.950590277775</v>
      </c>
    </row>
    <row r="623" spans="1:1" x14ac:dyDescent="0.25">
      <c r="A623" t="s">
        <v>17</v>
      </c>
    </row>
    <row r="624" spans="1:1" x14ac:dyDescent="0.25">
      <c r="A624" t="s">
        <v>18</v>
      </c>
    </row>
    <row r="625" spans="1:1" x14ac:dyDescent="0.25">
      <c r="A625" s="3">
        <v>42386.951666666668</v>
      </c>
    </row>
    <row r="626" spans="1:1" x14ac:dyDescent="0.25">
      <c r="A626" t="s">
        <v>17</v>
      </c>
    </row>
    <row r="627" spans="1:1" x14ac:dyDescent="0.25">
      <c r="A627" t="s">
        <v>18</v>
      </c>
    </row>
    <row r="628" spans="1:1" x14ac:dyDescent="0.25">
      <c r="A628" s="3">
        <v>42386.954340277778</v>
      </c>
    </row>
    <row r="629" spans="1:1" x14ac:dyDescent="0.25">
      <c r="A629" t="s">
        <v>17</v>
      </c>
    </row>
    <row r="630" spans="1:1" x14ac:dyDescent="0.25">
      <c r="A630" t="s">
        <v>18</v>
      </c>
    </row>
    <row r="631" spans="1:1" x14ac:dyDescent="0.25">
      <c r="A631" s="3">
        <v>42386.954664351855</v>
      </c>
    </row>
    <row r="632" spans="1:1" x14ac:dyDescent="0.25">
      <c r="A632" t="s">
        <v>17</v>
      </c>
    </row>
    <row r="633" spans="1:1" x14ac:dyDescent="0.25">
      <c r="A633" t="s">
        <v>18</v>
      </c>
    </row>
    <row r="634" spans="1:1" x14ac:dyDescent="0.25">
      <c r="A634" s="3">
        <v>42386.954699074071</v>
      </c>
    </row>
    <row r="635" spans="1:1" x14ac:dyDescent="0.25">
      <c r="A635" t="s">
        <v>17</v>
      </c>
    </row>
    <row r="636" spans="1:1" x14ac:dyDescent="0.25">
      <c r="A636" t="s">
        <v>18</v>
      </c>
    </row>
    <row r="637" spans="1:1" x14ac:dyDescent="0.25">
      <c r="A637" s="3">
        <v>42386.954745370371</v>
      </c>
    </row>
    <row r="638" spans="1:1" x14ac:dyDescent="0.25">
      <c r="A638" t="s">
        <v>17</v>
      </c>
    </row>
    <row r="639" spans="1:1" x14ac:dyDescent="0.25">
      <c r="A639" t="s">
        <v>18</v>
      </c>
    </row>
    <row r="640" spans="1:1" x14ac:dyDescent="0.25">
      <c r="A640" s="3">
        <v>42386.954837962963</v>
      </c>
    </row>
    <row r="641" spans="1:1" x14ac:dyDescent="0.25">
      <c r="A641" t="s">
        <v>17</v>
      </c>
    </row>
    <row r="642" spans="1:1" x14ac:dyDescent="0.25">
      <c r="A642" t="s">
        <v>18</v>
      </c>
    </row>
    <row r="643" spans="1:1" x14ac:dyDescent="0.25">
      <c r="A643" s="3">
        <v>42386.956018518518</v>
      </c>
    </row>
    <row r="644" spans="1:1" x14ac:dyDescent="0.25">
      <c r="A644" t="s">
        <v>17</v>
      </c>
    </row>
    <row r="645" spans="1:1" x14ac:dyDescent="0.25">
      <c r="A645" t="s">
        <v>18</v>
      </c>
    </row>
    <row r="646" spans="1:1" x14ac:dyDescent="0.25">
      <c r="A646" s="3">
        <v>42386.956064814818</v>
      </c>
    </row>
    <row r="647" spans="1:1" x14ac:dyDescent="0.25">
      <c r="A647" t="s">
        <v>17</v>
      </c>
    </row>
    <row r="648" spans="1:1" x14ac:dyDescent="0.25">
      <c r="A648" t="s">
        <v>18</v>
      </c>
    </row>
    <row r="649" spans="1:1" x14ac:dyDescent="0.25">
      <c r="A649" s="3">
        <v>42386.956805555557</v>
      </c>
    </row>
    <row r="650" spans="1:1" x14ac:dyDescent="0.25">
      <c r="A650" t="s">
        <v>17</v>
      </c>
    </row>
    <row r="651" spans="1:1" x14ac:dyDescent="0.25">
      <c r="A651" t="s">
        <v>18</v>
      </c>
    </row>
    <row r="652" spans="1:1" x14ac:dyDescent="0.25">
      <c r="A652" s="3">
        <v>42386.956828703704</v>
      </c>
    </row>
    <row r="653" spans="1:1" x14ac:dyDescent="0.25">
      <c r="A653" t="s">
        <v>17</v>
      </c>
    </row>
    <row r="654" spans="1:1" x14ac:dyDescent="0.25">
      <c r="A654" t="s">
        <v>18</v>
      </c>
    </row>
    <row r="655" spans="1:1" x14ac:dyDescent="0.25">
      <c r="A655" s="3">
        <v>42386.957372685189</v>
      </c>
    </row>
    <row r="656" spans="1:1" x14ac:dyDescent="0.25">
      <c r="A656" t="s">
        <v>17</v>
      </c>
    </row>
    <row r="657" spans="1:1" x14ac:dyDescent="0.25">
      <c r="A657" t="s">
        <v>18</v>
      </c>
    </row>
    <row r="658" spans="1:1" x14ac:dyDescent="0.25">
      <c r="A658" s="3">
        <v>42386.957442129627</v>
      </c>
    </row>
    <row r="659" spans="1:1" x14ac:dyDescent="0.25">
      <c r="A659" t="s">
        <v>17</v>
      </c>
    </row>
    <row r="660" spans="1:1" x14ac:dyDescent="0.25">
      <c r="A660" t="s">
        <v>18</v>
      </c>
    </row>
    <row r="661" spans="1:1" x14ac:dyDescent="0.25">
      <c r="A661" s="3">
        <v>42386.958831018521</v>
      </c>
    </row>
    <row r="662" spans="1:1" x14ac:dyDescent="0.25">
      <c r="A662" t="s">
        <v>17</v>
      </c>
    </row>
    <row r="663" spans="1:1" x14ac:dyDescent="0.25">
      <c r="A663" t="s">
        <v>18</v>
      </c>
    </row>
    <row r="664" spans="1:1" x14ac:dyDescent="0.25">
      <c r="A664" s="3">
        <v>42386.959293981483</v>
      </c>
    </row>
    <row r="665" spans="1:1" x14ac:dyDescent="0.25">
      <c r="A665" t="s">
        <v>17</v>
      </c>
    </row>
    <row r="666" spans="1:1" x14ac:dyDescent="0.25">
      <c r="A666" t="s">
        <v>18</v>
      </c>
    </row>
    <row r="667" spans="1:1" x14ac:dyDescent="0.25">
      <c r="A667" s="3">
        <v>42386.959502314814</v>
      </c>
    </row>
    <row r="668" spans="1:1" x14ac:dyDescent="0.25">
      <c r="A668" t="s">
        <v>17</v>
      </c>
    </row>
    <row r="669" spans="1:1" x14ac:dyDescent="0.25">
      <c r="A669" t="s">
        <v>18</v>
      </c>
    </row>
    <row r="670" spans="1:1" x14ac:dyDescent="0.25">
      <c r="A670" s="3">
        <v>42387.020636574074</v>
      </c>
    </row>
    <row r="671" spans="1:1" x14ac:dyDescent="0.25">
      <c r="A671" t="s">
        <v>17</v>
      </c>
    </row>
    <row r="672" spans="1:1" x14ac:dyDescent="0.25">
      <c r="A672" t="s">
        <v>18</v>
      </c>
    </row>
    <row r="673" spans="1:1" x14ac:dyDescent="0.25">
      <c r="A673" s="3">
        <v>42387.020729166667</v>
      </c>
    </row>
    <row r="674" spans="1:1" x14ac:dyDescent="0.25">
      <c r="A674" t="s">
        <v>17</v>
      </c>
    </row>
    <row r="675" spans="1:1" x14ac:dyDescent="0.25">
      <c r="A675" t="s">
        <v>18</v>
      </c>
    </row>
    <row r="676" spans="1:1" x14ac:dyDescent="0.25">
      <c r="A676" s="3">
        <v>42387.196759259263</v>
      </c>
    </row>
    <row r="677" spans="1:1" x14ac:dyDescent="0.25">
      <c r="A677" t="s">
        <v>17</v>
      </c>
    </row>
    <row r="678" spans="1:1" x14ac:dyDescent="0.25">
      <c r="A678" t="s">
        <v>18</v>
      </c>
    </row>
    <row r="679" spans="1:1" x14ac:dyDescent="0.25">
      <c r="A679" s="3">
        <v>42388.020972222221</v>
      </c>
    </row>
    <row r="680" spans="1:1" x14ac:dyDescent="0.25">
      <c r="A680" t="s">
        <v>17</v>
      </c>
    </row>
    <row r="681" spans="1:1" x14ac:dyDescent="0.25">
      <c r="A681" t="s">
        <v>18</v>
      </c>
    </row>
    <row r="682" spans="1:1" x14ac:dyDescent="0.25">
      <c r="A682" s="3">
        <v>42389.558368055557</v>
      </c>
    </row>
    <row r="683" spans="1:1" x14ac:dyDescent="0.25">
      <c r="A683" t="s">
        <v>17</v>
      </c>
    </row>
    <row r="684" spans="1:1" x14ac:dyDescent="0.25">
      <c r="A684" t="s">
        <v>18</v>
      </c>
    </row>
    <row r="685" spans="1:1" x14ac:dyDescent="0.25">
      <c r="A685" s="3">
        <v>42389.558437500003</v>
      </c>
    </row>
    <row r="686" spans="1:1" x14ac:dyDescent="0.25">
      <c r="A686" t="s">
        <v>17</v>
      </c>
    </row>
    <row r="687" spans="1:1" x14ac:dyDescent="0.25">
      <c r="A687" t="s">
        <v>18</v>
      </c>
    </row>
    <row r="688" spans="1:1" x14ac:dyDescent="0.25">
      <c r="A688" s="3">
        <v>42389.561620370368</v>
      </c>
    </row>
    <row r="689" spans="1:1" x14ac:dyDescent="0.25">
      <c r="A689" t="s">
        <v>17</v>
      </c>
    </row>
    <row r="690" spans="1:1" x14ac:dyDescent="0.25">
      <c r="A690" t="s">
        <v>18</v>
      </c>
    </row>
    <row r="691" spans="1:1" x14ac:dyDescent="0.25">
      <c r="A691" s="3">
        <v>42389.562581018516</v>
      </c>
    </row>
    <row r="692" spans="1:1" x14ac:dyDescent="0.25">
      <c r="A692" t="s">
        <v>17</v>
      </c>
    </row>
    <row r="693" spans="1:1" x14ac:dyDescent="0.25">
      <c r="A693" t="s">
        <v>18</v>
      </c>
    </row>
    <row r="694" spans="1:1" x14ac:dyDescent="0.25">
      <c r="A694" s="3">
        <v>42389.562615740739</v>
      </c>
    </row>
    <row r="695" spans="1:1" x14ac:dyDescent="0.25">
      <c r="A695" t="s">
        <v>17</v>
      </c>
    </row>
    <row r="696" spans="1:1" x14ac:dyDescent="0.25">
      <c r="A696" t="s">
        <v>18</v>
      </c>
    </row>
    <row r="697" spans="1:1" x14ac:dyDescent="0.25">
      <c r="A697" s="3">
        <v>42389.565150462964</v>
      </c>
    </row>
    <row r="698" spans="1:1" x14ac:dyDescent="0.25">
      <c r="A698" t="s">
        <v>17</v>
      </c>
    </row>
    <row r="699" spans="1:1" x14ac:dyDescent="0.25">
      <c r="A699" t="s">
        <v>18</v>
      </c>
    </row>
    <row r="700" spans="1:1" x14ac:dyDescent="0.25">
      <c r="A700" s="3">
        <v>42389.565960648149</v>
      </c>
    </row>
    <row r="701" spans="1:1" x14ac:dyDescent="0.25">
      <c r="A701" t="s">
        <v>17</v>
      </c>
    </row>
    <row r="702" spans="1:1" x14ac:dyDescent="0.25">
      <c r="A702" t="s">
        <v>18</v>
      </c>
    </row>
    <row r="703" spans="1:1" x14ac:dyDescent="0.25">
      <c r="A703" s="3">
        <v>42389.583321759259</v>
      </c>
    </row>
    <row r="704" spans="1:1" x14ac:dyDescent="0.25">
      <c r="A704" t="s">
        <v>17</v>
      </c>
    </row>
    <row r="705" spans="1:1" x14ac:dyDescent="0.25">
      <c r="A705" t="s">
        <v>18</v>
      </c>
    </row>
    <row r="706" spans="1:1" x14ac:dyDescent="0.25">
      <c r="A706" s="3">
        <v>42389.583333333336</v>
      </c>
    </row>
    <row r="707" spans="1:1" x14ac:dyDescent="0.25">
      <c r="A707" t="s">
        <v>17</v>
      </c>
    </row>
    <row r="708" spans="1:1" x14ac:dyDescent="0.25">
      <c r="A708" t="s">
        <v>18</v>
      </c>
    </row>
    <row r="709" spans="1:1" x14ac:dyDescent="0.25">
      <c r="A709" s="3">
        <v>42389.583472222221</v>
      </c>
    </row>
    <row r="710" spans="1:1" x14ac:dyDescent="0.25">
      <c r="A710" t="s">
        <v>17</v>
      </c>
    </row>
    <row r="711" spans="1:1" x14ac:dyDescent="0.25">
      <c r="A711" t="s">
        <v>18</v>
      </c>
    </row>
    <row r="712" spans="1:1" x14ac:dyDescent="0.25">
      <c r="A712" s="3">
        <v>42435.059479166666</v>
      </c>
    </row>
    <row r="713" spans="1:1" x14ac:dyDescent="0.25">
      <c r="A713" t="s">
        <v>17</v>
      </c>
    </row>
    <row r="714" spans="1:1" x14ac:dyDescent="0.25">
      <c r="A714" t="s">
        <v>18</v>
      </c>
    </row>
    <row r="715" spans="1:1" x14ac:dyDescent="0.25">
      <c r="A715" s="3">
        <v>42435.059571759259</v>
      </c>
    </row>
    <row r="716" spans="1:1" x14ac:dyDescent="0.25">
      <c r="A716" t="s">
        <v>17</v>
      </c>
    </row>
    <row r="717" spans="1:1" x14ac:dyDescent="0.25">
      <c r="A717" t="s">
        <v>18</v>
      </c>
    </row>
    <row r="718" spans="1:1" x14ac:dyDescent="0.25">
      <c r="A718" s="3">
        <v>42435.059803240743</v>
      </c>
    </row>
    <row r="719" spans="1:1" x14ac:dyDescent="0.25">
      <c r="A719" t="s">
        <v>17</v>
      </c>
    </row>
    <row r="720" spans="1:1" x14ac:dyDescent="0.25">
      <c r="A720" t="s">
        <v>18</v>
      </c>
    </row>
    <row r="721" spans="1:1" x14ac:dyDescent="0.25">
      <c r="A721" s="3">
        <v>42435.086284722223</v>
      </c>
    </row>
    <row r="722" spans="1:1" x14ac:dyDescent="0.25">
      <c r="A722" t="s">
        <v>17</v>
      </c>
    </row>
    <row r="723" spans="1:1" x14ac:dyDescent="0.25">
      <c r="A723" t="s">
        <v>18</v>
      </c>
    </row>
    <row r="724" spans="1:1" x14ac:dyDescent="0.25">
      <c r="A724" s="3">
        <v>42436.117303240739</v>
      </c>
    </row>
    <row r="725" spans="1:1" x14ac:dyDescent="0.25">
      <c r="A725" t="s">
        <v>17</v>
      </c>
    </row>
    <row r="726" spans="1:1" x14ac:dyDescent="0.25">
      <c r="A726" t="s">
        <v>18</v>
      </c>
    </row>
    <row r="727" spans="1:1" x14ac:dyDescent="0.25">
      <c r="A727" s="3">
        <v>42436.868287037039</v>
      </c>
    </row>
    <row r="728" spans="1:1" x14ac:dyDescent="0.25">
      <c r="A728" t="s">
        <v>17</v>
      </c>
    </row>
    <row r="729" spans="1:1" x14ac:dyDescent="0.25">
      <c r="A729" t="s">
        <v>18</v>
      </c>
    </row>
    <row r="730" spans="1:1" x14ac:dyDescent="0.25">
      <c r="A730" s="3">
        <v>42439.107685185183</v>
      </c>
    </row>
    <row r="731" spans="1:1" x14ac:dyDescent="0.25">
      <c r="A731" t="s">
        <v>17</v>
      </c>
    </row>
    <row r="732" spans="1:1" x14ac:dyDescent="0.25">
      <c r="A732" t="s">
        <v>18</v>
      </c>
    </row>
    <row r="733" spans="1:1" x14ac:dyDescent="0.25">
      <c r="A733" s="3">
        <v>42442.001620370371</v>
      </c>
    </row>
    <row r="734" spans="1:1" x14ac:dyDescent="0.25">
      <c r="A734" t="s">
        <v>17</v>
      </c>
    </row>
    <row r="735" spans="1:1" x14ac:dyDescent="0.25">
      <c r="A735" t="s">
        <v>18</v>
      </c>
    </row>
    <row r="736" spans="1:1" x14ac:dyDescent="0.25">
      <c r="A736" s="3">
        <v>42442.002488425926</v>
      </c>
    </row>
    <row r="737" spans="1:1" x14ac:dyDescent="0.25">
      <c r="A737" t="s">
        <v>17</v>
      </c>
    </row>
    <row r="738" spans="1:1" x14ac:dyDescent="0.25">
      <c r="A738" t="s">
        <v>18</v>
      </c>
    </row>
    <row r="739" spans="1:1" x14ac:dyDescent="0.25">
      <c r="A739" s="3">
        <v>42442.002696759257</v>
      </c>
    </row>
    <row r="740" spans="1:1" x14ac:dyDescent="0.25">
      <c r="A740" t="s">
        <v>17</v>
      </c>
    </row>
    <row r="741" spans="1:1" x14ac:dyDescent="0.25">
      <c r="A741" t="s">
        <v>18</v>
      </c>
    </row>
    <row r="742" spans="1:1" x14ac:dyDescent="0.25">
      <c r="A742" s="3">
        <v>42442.046006944445</v>
      </c>
    </row>
    <row r="743" spans="1:1" x14ac:dyDescent="0.25">
      <c r="A743" t="s">
        <v>17</v>
      </c>
    </row>
    <row r="744" spans="1:1" x14ac:dyDescent="0.25">
      <c r="A744" t="s">
        <v>18</v>
      </c>
    </row>
    <row r="745" spans="1:1" x14ac:dyDescent="0.25">
      <c r="A745" s="3">
        <v>42442.081712962965</v>
      </c>
    </row>
    <row r="746" spans="1:1" x14ac:dyDescent="0.25">
      <c r="A746" t="s">
        <v>17</v>
      </c>
    </row>
    <row r="747" spans="1:1" x14ac:dyDescent="0.25">
      <c r="A747" t="s">
        <v>18</v>
      </c>
    </row>
    <row r="748" spans="1:1" x14ac:dyDescent="0.25">
      <c r="A748" s="3">
        <v>42839.730046296296</v>
      </c>
    </row>
    <row r="749" spans="1:1" x14ac:dyDescent="0.25">
      <c r="A749" t="s">
        <v>17</v>
      </c>
    </row>
    <row r="750" spans="1:1" x14ac:dyDescent="0.25">
      <c r="A750" t="s">
        <v>18</v>
      </c>
    </row>
    <row r="751" spans="1:1" x14ac:dyDescent="0.25">
      <c r="A751" s="3">
        <v>42839.733194444445</v>
      </c>
    </row>
    <row r="752" spans="1:1" x14ac:dyDescent="0.25">
      <c r="A752" t="s">
        <v>17</v>
      </c>
    </row>
    <row r="753" spans="1:1" x14ac:dyDescent="0.25">
      <c r="A753" t="s">
        <v>18</v>
      </c>
    </row>
    <row r="754" spans="1:1" x14ac:dyDescent="0.25">
      <c r="A754" s="3">
        <v>42839.734340277777</v>
      </c>
    </row>
    <row r="755" spans="1:1" x14ac:dyDescent="0.25">
      <c r="A755" t="s">
        <v>17</v>
      </c>
    </row>
    <row r="756" spans="1:1" x14ac:dyDescent="0.25">
      <c r="A756" t="s">
        <v>18</v>
      </c>
    </row>
    <row r="757" spans="1:1" x14ac:dyDescent="0.25">
      <c r="A757" s="3">
        <v>42839.737453703703</v>
      </c>
    </row>
    <row r="758" spans="1:1" x14ac:dyDescent="0.25">
      <c r="A758" t="s">
        <v>17</v>
      </c>
    </row>
    <row r="759" spans="1:1" x14ac:dyDescent="0.25">
      <c r="A759" t="s">
        <v>18</v>
      </c>
    </row>
    <row r="760" spans="1:1" x14ac:dyDescent="0.25">
      <c r="A760" s="3">
        <v>42839.740578703706</v>
      </c>
    </row>
    <row r="761" spans="1:1" x14ac:dyDescent="0.25">
      <c r="A761" t="s">
        <v>17</v>
      </c>
    </row>
    <row r="762" spans="1:1" x14ac:dyDescent="0.25">
      <c r="A762" t="s">
        <v>18</v>
      </c>
    </row>
    <row r="763" spans="1:1" x14ac:dyDescent="0.25">
      <c r="A763" s="3">
        <v>42839.741851851853</v>
      </c>
    </row>
    <row r="764" spans="1:1" x14ac:dyDescent="0.25">
      <c r="A764" t="s">
        <v>17</v>
      </c>
    </row>
    <row r="765" spans="1:1" x14ac:dyDescent="0.25">
      <c r="A765" t="s">
        <v>18</v>
      </c>
    </row>
    <row r="766" spans="1:1" x14ac:dyDescent="0.25">
      <c r="A766" s="3">
        <v>42839.763101851851</v>
      </c>
    </row>
    <row r="767" spans="1:1" x14ac:dyDescent="0.25">
      <c r="A767" t="s">
        <v>17</v>
      </c>
    </row>
    <row r="768" spans="1:1" x14ac:dyDescent="0.25">
      <c r="A768" t="s">
        <v>18</v>
      </c>
    </row>
    <row r="769" spans="1:1" x14ac:dyDescent="0.25">
      <c r="A769" s="3">
        <v>42839.763402777775</v>
      </c>
    </row>
    <row r="770" spans="1:1" x14ac:dyDescent="0.25">
      <c r="A770" t="s">
        <v>17</v>
      </c>
    </row>
    <row r="771" spans="1:1" x14ac:dyDescent="0.25">
      <c r="A771" t="s">
        <v>18</v>
      </c>
    </row>
    <row r="772" spans="1:1" x14ac:dyDescent="0.25">
      <c r="A772" s="3">
        <v>42839.778993055559</v>
      </c>
    </row>
    <row r="773" spans="1:1" x14ac:dyDescent="0.25">
      <c r="A773" t="s">
        <v>17</v>
      </c>
    </row>
    <row r="774" spans="1:1" x14ac:dyDescent="0.25">
      <c r="A774" t="s">
        <v>18</v>
      </c>
    </row>
    <row r="775" spans="1:1" x14ac:dyDescent="0.25">
      <c r="A775" s="3">
        <v>42839.779988425929</v>
      </c>
    </row>
    <row r="776" spans="1:1" x14ac:dyDescent="0.25">
      <c r="A776" t="s">
        <v>17</v>
      </c>
    </row>
    <row r="777" spans="1:1" x14ac:dyDescent="0.25">
      <c r="A777" t="s">
        <v>18</v>
      </c>
    </row>
    <row r="778" spans="1:1" x14ac:dyDescent="0.25">
      <c r="A778" s="3">
        <v>42839.850706018522</v>
      </c>
    </row>
    <row r="779" spans="1:1" x14ac:dyDescent="0.25">
      <c r="A779" t="s">
        <v>17</v>
      </c>
    </row>
    <row r="780" spans="1:1" x14ac:dyDescent="0.25">
      <c r="A780" t="s">
        <v>18</v>
      </c>
    </row>
    <row r="781" spans="1:1" x14ac:dyDescent="0.25">
      <c r="A781" s="3">
        <v>42839.851157407407</v>
      </c>
    </row>
    <row r="782" spans="1:1" x14ac:dyDescent="0.25">
      <c r="A782" t="s">
        <v>17</v>
      </c>
    </row>
    <row r="783" spans="1:1" x14ac:dyDescent="0.25">
      <c r="A783" t="s">
        <v>18</v>
      </c>
    </row>
    <row r="784" spans="1:1" x14ac:dyDescent="0.25">
      <c r="A784" s="3">
        <v>42839.883634259262</v>
      </c>
    </row>
    <row r="785" spans="1:1" x14ac:dyDescent="0.25">
      <c r="A785" t="s">
        <v>17</v>
      </c>
    </row>
    <row r="786" spans="1:1" x14ac:dyDescent="0.25">
      <c r="A786" t="s">
        <v>18</v>
      </c>
    </row>
    <row r="787" spans="1:1" x14ac:dyDescent="0.25">
      <c r="A787" s="3">
        <v>42839.893831018519</v>
      </c>
    </row>
    <row r="788" spans="1:1" x14ac:dyDescent="0.25">
      <c r="A788" t="s">
        <v>17</v>
      </c>
    </row>
    <row r="789" spans="1:1" x14ac:dyDescent="0.25">
      <c r="A789" t="s">
        <v>18</v>
      </c>
    </row>
    <row r="790" spans="1:1" x14ac:dyDescent="0.25">
      <c r="A790" s="3">
        <v>42843.988668981481</v>
      </c>
    </row>
    <row r="791" spans="1:1" x14ac:dyDescent="0.25">
      <c r="A791" t="s">
        <v>17</v>
      </c>
    </row>
    <row r="792" spans="1:1" x14ac:dyDescent="0.25">
      <c r="A792" t="s">
        <v>18</v>
      </c>
    </row>
    <row r="793" spans="1:1" x14ac:dyDescent="0.25">
      <c r="A793" s="3">
        <v>42844.549027777779</v>
      </c>
    </row>
    <row r="794" spans="1:1" x14ac:dyDescent="0.25">
      <c r="A794" t="s">
        <v>17</v>
      </c>
    </row>
    <row r="795" spans="1:1" x14ac:dyDescent="0.25">
      <c r="A795" t="s">
        <v>18</v>
      </c>
    </row>
    <row r="796" spans="1:1" x14ac:dyDescent="0.25">
      <c r="A796" s="3">
        <v>42845.012314814812</v>
      </c>
    </row>
    <row r="797" spans="1:1" x14ac:dyDescent="0.25">
      <c r="A797" t="s">
        <v>17</v>
      </c>
    </row>
    <row r="798" spans="1:1" x14ac:dyDescent="0.25">
      <c r="A798" t="s">
        <v>18</v>
      </c>
    </row>
    <row r="799" spans="1:1" x14ac:dyDescent="0.25">
      <c r="A799" s="3">
        <v>42846.931655092594</v>
      </c>
    </row>
    <row r="800" spans="1:1" x14ac:dyDescent="0.25">
      <c r="A800" t="s">
        <v>17</v>
      </c>
    </row>
    <row r="801" spans="1:1" x14ac:dyDescent="0.25">
      <c r="A801" t="s">
        <v>18</v>
      </c>
    </row>
    <row r="802" spans="1:1" x14ac:dyDescent="0.25">
      <c r="A802" s="3">
        <v>42857.019074074073</v>
      </c>
    </row>
    <row r="803" spans="1:1" x14ac:dyDescent="0.25">
      <c r="A803" t="s">
        <v>17</v>
      </c>
    </row>
    <row r="804" spans="1:1" x14ac:dyDescent="0.25">
      <c r="A804" t="s">
        <v>18</v>
      </c>
    </row>
    <row r="805" spans="1:1" x14ac:dyDescent="0.25">
      <c r="A805" s="3">
        <v>42857.019756944443</v>
      </c>
    </row>
    <row r="806" spans="1:1" x14ac:dyDescent="0.25">
      <c r="A806" t="s">
        <v>17</v>
      </c>
    </row>
    <row r="807" spans="1:1" x14ac:dyDescent="0.25">
      <c r="A807" t="s">
        <v>18</v>
      </c>
    </row>
    <row r="808" spans="1:1" x14ac:dyDescent="0.25">
      <c r="A808" s="3">
        <v>42865.447789351849</v>
      </c>
    </row>
    <row r="809" spans="1:1" x14ac:dyDescent="0.25">
      <c r="A809" t="s">
        <v>17</v>
      </c>
    </row>
    <row r="810" spans="1:1" x14ac:dyDescent="0.25">
      <c r="A810" t="s">
        <v>18</v>
      </c>
    </row>
    <row r="811" spans="1:1" x14ac:dyDescent="0.25">
      <c r="A811" s="3">
        <v>42865.950300925928</v>
      </c>
    </row>
    <row r="812" spans="1:1" x14ac:dyDescent="0.25">
      <c r="A812" t="s">
        <v>17</v>
      </c>
    </row>
    <row r="813" spans="1:1" x14ac:dyDescent="0.25">
      <c r="A813" t="s">
        <v>18</v>
      </c>
    </row>
    <row r="814" spans="1:1" x14ac:dyDescent="0.25">
      <c r="A814" s="3">
        <v>42866.471342592595</v>
      </c>
    </row>
    <row r="815" spans="1:1" x14ac:dyDescent="0.25">
      <c r="A815" t="s">
        <v>17</v>
      </c>
    </row>
    <row r="816" spans="1:1" x14ac:dyDescent="0.25">
      <c r="A816" t="s">
        <v>18</v>
      </c>
    </row>
    <row r="817" spans="1:1" x14ac:dyDescent="0.25">
      <c r="A817" s="3">
        <v>42866.519849537035</v>
      </c>
    </row>
    <row r="818" spans="1:1" x14ac:dyDescent="0.25">
      <c r="A818" t="s">
        <v>17</v>
      </c>
    </row>
    <row r="819" spans="1:1" x14ac:dyDescent="0.25">
      <c r="A819" t="s">
        <v>18</v>
      </c>
    </row>
    <row r="820" spans="1:1" x14ac:dyDescent="0.25">
      <c r="A820" s="3">
        <v>42866.632581018515</v>
      </c>
    </row>
    <row r="821" spans="1:1" x14ac:dyDescent="0.25">
      <c r="A821" t="s">
        <v>17</v>
      </c>
    </row>
    <row r="822" spans="1:1" x14ac:dyDescent="0.25">
      <c r="A822" t="s">
        <v>18</v>
      </c>
    </row>
    <row r="823" spans="1:1" x14ac:dyDescent="0.25">
      <c r="A823" s="3">
        <v>42866.798090277778</v>
      </c>
    </row>
    <row r="824" spans="1:1" x14ac:dyDescent="0.25">
      <c r="A824" t="s">
        <v>17</v>
      </c>
    </row>
    <row r="825" spans="1:1" x14ac:dyDescent="0.25">
      <c r="A825" t="s">
        <v>18</v>
      </c>
    </row>
    <row r="826" spans="1:1" x14ac:dyDescent="0.25">
      <c r="A826" s="3">
        <v>43271.904317129629</v>
      </c>
    </row>
    <row r="827" spans="1:1" x14ac:dyDescent="0.25">
      <c r="A827" t="s">
        <v>17</v>
      </c>
    </row>
    <row r="828" spans="1:1" x14ac:dyDescent="0.25">
      <c r="A828" t="s">
        <v>18</v>
      </c>
    </row>
    <row r="829" spans="1:1" x14ac:dyDescent="0.25">
      <c r="A829" s="3">
        <v>43271.904791666668</v>
      </c>
    </row>
    <row r="830" spans="1:1" x14ac:dyDescent="0.25">
      <c r="A830" t="s">
        <v>17</v>
      </c>
    </row>
    <row r="831" spans="1:1" x14ac:dyDescent="0.25">
      <c r="A831" t="s">
        <v>18</v>
      </c>
    </row>
    <row r="832" spans="1:1" x14ac:dyDescent="0.25">
      <c r="A832" s="3">
        <v>43271.905474537038</v>
      </c>
    </row>
    <row r="833" spans="1:1" x14ac:dyDescent="0.25">
      <c r="A833" t="s">
        <v>17</v>
      </c>
    </row>
    <row r="834" spans="1:1" x14ac:dyDescent="0.25">
      <c r="A834" t="s">
        <v>18</v>
      </c>
    </row>
    <row r="835" spans="1:1" x14ac:dyDescent="0.25">
      <c r="A835" s="3">
        <v>43271.947557870371</v>
      </c>
    </row>
    <row r="836" spans="1:1" x14ac:dyDescent="0.25">
      <c r="A836" t="s">
        <v>17</v>
      </c>
    </row>
    <row r="837" spans="1:1" x14ac:dyDescent="0.25">
      <c r="A837" t="s">
        <v>18</v>
      </c>
    </row>
    <row r="838" spans="1:1" x14ac:dyDescent="0.25">
      <c r="A838" s="3">
        <v>43272.069328703707</v>
      </c>
    </row>
    <row r="839" spans="1:1" x14ac:dyDescent="0.25">
      <c r="A839" t="s">
        <v>17</v>
      </c>
    </row>
    <row r="840" spans="1:1" x14ac:dyDescent="0.25">
      <c r="A840" t="s">
        <v>18</v>
      </c>
    </row>
    <row r="841" spans="1:1" x14ac:dyDescent="0.25">
      <c r="A841" s="3">
        <v>43272.745706018519</v>
      </c>
    </row>
    <row r="842" spans="1:1" x14ac:dyDescent="0.25">
      <c r="A842" t="s">
        <v>17</v>
      </c>
    </row>
    <row r="843" spans="1:1" x14ac:dyDescent="0.25">
      <c r="A843" t="s">
        <v>18</v>
      </c>
    </row>
    <row r="844" spans="1:1" x14ac:dyDescent="0.25">
      <c r="A844" s="3">
        <v>43272.746122685188</v>
      </c>
    </row>
    <row r="845" spans="1:1" x14ac:dyDescent="0.25">
      <c r="A845" t="s">
        <v>17</v>
      </c>
    </row>
    <row r="846" spans="1:1" x14ac:dyDescent="0.25">
      <c r="A846" t="s">
        <v>18</v>
      </c>
    </row>
    <row r="847" spans="1:1" x14ac:dyDescent="0.25">
      <c r="A847" s="3">
        <v>43272.755601851852</v>
      </c>
    </row>
    <row r="848" spans="1:1" x14ac:dyDescent="0.25">
      <c r="A848" t="s">
        <v>17</v>
      </c>
    </row>
    <row r="849" spans="1:1" x14ac:dyDescent="0.25">
      <c r="A849" t="s">
        <v>18</v>
      </c>
    </row>
    <row r="850" spans="1:1" x14ac:dyDescent="0.25">
      <c r="A850" s="3">
        <v>43272.986516203702</v>
      </c>
    </row>
    <row r="851" spans="1:1" x14ac:dyDescent="0.25">
      <c r="A851" t="s">
        <v>17</v>
      </c>
    </row>
    <row r="852" spans="1:1" x14ac:dyDescent="0.25">
      <c r="A852" t="s">
        <v>18</v>
      </c>
    </row>
    <row r="853" spans="1:1" x14ac:dyDescent="0.25">
      <c r="A853" s="3">
        <v>43273.068738425929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AGUA</vt:lpstr>
      <vt:lpstr>COMPARAÇÃO AMPL</vt:lpstr>
      <vt:lpstr>Registros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REGIS</dc:creator>
  <cp:lastModifiedBy>PEDRO REGIS</cp:lastModifiedBy>
  <cp:lastPrinted>2016-03-13T03:03:49Z</cp:lastPrinted>
  <dcterms:created xsi:type="dcterms:W3CDTF">2015-07-13T22:42:51Z</dcterms:created>
  <dcterms:modified xsi:type="dcterms:W3CDTF">2018-06-22T04:38:59Z</dcterms:modified>
</cp:coreProperties>
</file>